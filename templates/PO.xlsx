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yolan\Documents\nitip kerjoan\"/>
    </mc:Choice>
  </mc:AlternateContent>
  <xr:revisionPtr revIDLastSave="0" documentId="8_{9359E636-109C-46A1-AEAB-9D219067768D}" xr6:coauthVersionLast="47" xr6:coauthVersionMax="47" xr10:uidLastSave="{00000000-0000-0000-0000-000000000000}"/>
  <bookViews>
    <workbookView xWindow="-120" yWindow="-120" windowWidth="20730" windowHeight="11040" xr2:uid="{A49BEDBD-68B2-4736-8876-63AAF03D5E49}"/>
  </bookViews>
  <sheets>
    <sheet name="Data Base Suplayer" sheetId="2" r:id="rId1"/>
    <sheet name="1 SEP" sheetId="3" r:id="rId2"/>
    <sheet name="1 SEP (2)" sheetId="4" r:id="rId3"/>
    <sheet name="1 SEP (3)" sheetId="5" r:id="rId4"/>
    <sheet name="1 SEP (4)" sheetId="6" r:id="rId5"/>
  </sheets>
  <definedNames>
    <definedName name="_xlnm.Print_Area" localSheetId="1">'1 SEP'!$A$1:$G$33</definedName>
    <definedName name="_xlnm.Print_Area" localSheetId="2">'1 SEP (2)'!$A$1:$G$24</definedName>
    <definedName name="_xlnm.Print_Area" localSheetId="3">'1 SEP (3)'!$A$1:$G$24</definedName>
    <definedName name="_xlnm.Print_Area" localSheetId="4">'1 SEP (4)'!$A$1:$G$33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6" l="1"/>
  <c r="C11" i="6"/>
  <c r="C11" i="5"/>
  <c r="C11" i="4"/>
  <c r="G23" i="6"/>
  <c r="G22" i="6"/>
  <c r="G21" i="6"/>
  <c r="G20" i="6"/>
  <c r="G19" i="6"/>
  <c r="G18" i="6"/>
  <c r="G17" i="6"/>
  <c r="G16" i="6"/>
  <c r="G15" i="6"/>
  <c r="G14" i="6"/>
  <c r="G14" i="5"/>
  <c r="G15" i="5" s="1"/>
  <c r="C11" i="3" l="1"/>
  <c r="G14" i="4"/>
  <c r="G15" i="4" s="1"/>
  <c r="G23" i="3" l="1"/>
  <c r="G22" i="3"/>
  <c r="G21" i="3"/>
  <c r="G20" i="3"/>
  <c r="G19" i="3"/>
  <c r="G18" i="3"/>
  <c r="G17" i="3"/>
  <c r="G16" i="3"/>
  <c r="G15" i="3"/>
  <c r="G14" i="3"/>
  <c r="G24" i="3" s="1"/>
</calcChain>
</file>

<file path=xl/sharedStrings.xml><?xml version="1.0" encoding="utf-8"?>
<sst xmlns="http://schemas.openxmlformats.org/spreadsheetml/2006/main" count="231" uniqueCount="120">
  <si>
    <t>DATA SUPPLIER SPPG SIDOARJO TULANGAN TULANGAN</t>
  </si>
  <si>
    <t>No</t>
  </si>
  <si>
    <t>Nama Supplier</t>
  </si>
  <si>
    <t>Nama Pemilik</t>
  </si>
  <si>
    <t>Nomor Telepon</t>
  </si>
  <si>
    <t>Barang yang dijual</t>
  </si>
  <si>
    <t>Alamat</t>
  </si>
  <si>
    <t>Omah Jagal Sidoarjo</t>
  </si>
  <si>
    <t>Encik Luzuman Nailul Anam</t>
  </si>
  <si>
    <t>085158500558</t>
  </si>
  <si>
    <t>Daging sapi</t>
  </si>
  <si>
    <t>Jl. Pahlawan VII (Gg. Bima Sakti) No 213 A, Magersari, Kab. Sidoarjo, Jawa Timur</t>
  </si>
  <si>
    <t>CV Berkat Seafood</t>
  </si>
  <si>
    <t>Wiranti</t>
  </si>
  <si>
    <t>085842136251</t>
  </si>
  <si>
    <t>Ikan</t>
  </si>
  <si>
    <t>Jl. Satelit Indah VII No.01A Blok LN, Tanjungsari, Kec. Sukomanunggal, Surabaya, Jawa Timur</t>
  </si>
  <si>
    <t>Agen Telur Murah ALI</t>
  </si>
  <si>
    <t>Ali</t>
  </si>
  <si>
    <t>085117211345</t>
  </si>
  <si>
    <t>Telur Ayam</t>
  </si>
  <si>
    <t>Kaper RT 12 RW 06, Krembung, Sidoarjo, Jawa Timur</t>
  </si>
  <si>
    <t>Rijold Sayur</t>
  </si>
  <si>
    <t>Edy Setiawan</t>
  </si>
  <si>
    <t>085749012189</t>
  </si>
  <si>
    <t>Sawi putih, jagung, kacang panjang,kembang kol, wortel, jagung, buncis, tempe</t>
  </si>
  <si>
    <t>Jl. Ps. Baru Porong, Juwet, Juwetkenongo, Kec. Porong, Sidoarjo, Jawa timur</t>
  </si>
  <si>
    <t>Haidar Food</t>
  </si>
  <si>
    <t>Arifin</t>
  </si>
  <si>
    <t>08885717657</t>
  </si>
  <si>
    <t>Ikan, ayam</t>
  </si>
  <si>
    <t>Tanjekwagir, Krembung, Sidoarjo, Jawa Timur</t>
  </si>
  <si>
    <t>Sumber Baru Food</t>
  </si>
  <si>
    <t>Nur Salim</t>
  </si>
  <si>
    <t>081381212590</t>
  </si>
  <si>
    <t>Ayam</t>
  </si>
  <si>
    <t>Pangkemiri, Tulangan, Sidoarjo, Jawa Timur Kode Pos 61273</t>
  </si>
  <si>
    <t>Sumber Sejuk Depot Air Minum Kepadangan</t>
  </si>
  <si>
    <t>Subakti</t>
  </si>
  <si>
    <t>089521873982</t>
  </si>
  <si>
    <t>Air Galon</t>
  </si>
  <si>
    <t>Kepadangan, Tulangan, Sidoarjo, Jawa Timur Kode Pos 61273</t>
  </si>
  <si>
    <t>Bukhori Tempe</t>
  </si>
  <si>
    <t>Imam Bukhori</t>
  </si>
  <si>
    <t>081217120001</t>
  </si>
  <si>
    <t>Tempe</t>
  </si>
  <si>
    <t>Kedondong, Tulangan, Sidoarjo, Jawa Timur Kode Pos 61273</t>
  </si>
  <si>
    <t>UD Aruna Muda</t>
  </si>
  <si>
    <t>Moh Choirul Anam</t>
  </si>
  <si>
    <t>081958884089</t>
  </si>
  <si>
    <t>Daging, Jeruk manis, Anggur, Kelengkeng, Pisang, Leci</t>
  </si>
  <si>
    <t>Kemantren Gang 1, RT 7 RW 1 Kel. Kemantren Kec. Tulangan. Kab. Sidoarjo. Kode Pos 61273</t>
  </si>
  <si>
    <t>UD Inul Jaya</t>
  </si>
  <si>
    <t>Hendy Nur Wahyu Nugroho</t>
  </si>
  <si>
    <t>082231612075</t>
  </si>
  <si>
    <t>Tahu dan Tempe</t>
  </si>
  <si>
    <t>Banjarwungu, Kec. Tarik, Sidoarjo, Jawa Timur Kode Pos 61265</t>
  </si>
  <si>
    <t>PT AGRO BOGA UTAMA</t>
  </si>
  <si>
    <t>Achmad Fachmi</t>
  </si>
  <si>
    <t>081119923553</t>
  </si>
  <si>
    <t>distributor daging sapi, ayam, hasil lain, dan edamame</t>
  </si>
  <si>
    <t>Wonokerto Lor, Wonoplintahan, Kec. Prambon, Sidoarjo. Kode Pos 61264</t>
  </si>
  <si>
    <r>
      <t xml:space="preserve">  BADAN GIZI NASIONAL </t>
    </r>
    <r>
      <rPr>
        <b/>
        <i/>
        <sz val="12"/>
        <color rgb="FF3D85C6"/>
        <rFont val="Times New Roman"/>
        <family val="1"/>
      </rPr>
      <t xml:space="preserve">(NATIONAL NUTRITION AGENCY) </t>
    </r>
  </si>
  <si>
    <t xml:space="preserve">  Gedung E Kompleks Kementerian Pertanian </t>
  </si>
  <si>
    <t xml:space="preserve">  Jalan Harsono RM Nomor 3 Ragunan, Pasar Minggu Jakarta, 12550</t>
  </si>
  <si>
    <t>NOTA PESANAN BAHAN PANGAN</t>
  </si>
  <si>
    <t>SPPG</t>
  </si>
  <si>
    <t>:</t>
  </si>
  <si>
    <t>SPPG SIDOARJO TULANGAN TULANGAN</t>
  </si>
  <si>
    <t>Tgl. Permintaan:</t>
  </si>
  <si>
    <t>ID SPPG</t>
  </si>
  <si>
    <t>PRVM7QGM</t>
  </si>
  <si>
    <t>Tgl. Pengiriman:</t>
  </si>
  <si>
    <t>Kepada</t>
  </si>
  <si>
    <t>NO</t>
  </si>
  <si>
    <t>URAIAN BAHAN</t>
  </si>
  <si>
    <t>QTY</t>
  </si>
  <si>
    <t>HARGA</t>
  </si>
  <si>
    <t>TOTAL</t>
  </si>
  <si>
    <t>kg</t>
  </si>
  <si>
    <t>pouch</t>
  </si>
  <si>
    <t>Kaldu knorr ayam</t>
  </si>
  <si>
    <t xml:space="preserve">Total </t>
  </si>
  <si>
    <t xml:space="preserve">           Dibuat Oleh,</t>
  </si>
  <si>
    <t>Diketahui Oleh,</t>
  </si>
  <si>
    <t>Ira sukma Yuliawati S.Ak.</t>
  </si>
  <si>
    <t>Fany Bella Nur Azizah S.Farm.</t>
  </si>
  <si>
    <t xml:space="preserve">           Akuntan SPPG</t>
  </si>
  <si>
    <t>Kepala SPPG</t>
  </si>
  <si>
    <t>No. 001/PO/BMK/IX/2026</t>
  </si>
  <si>
    <t>UD Berkah Anugerah</t>
  </si>
  <si>
    <t>Mohamad Zahrain Adjie</t>
  </si>
  <si>
    <t>0895395133350</t>
  </si>
  <si>
    <t>Perum Villa jasmine 3, Blok K No 15, RT 54 RW 14, Desa Suko, Kec. Sidoarjo, Kab. Sidoarjo</t>
  </si>
  <si>
    <t>Beras premium</t>
  </si>
  <si>
    <t>Tepung panir</t>
  </si>
  <si>
    <t>Kelengkeng</t>
  </si>
  <si>
    <t>Tepung tapioka</t>
  </si>
  <si>
    <t>Tepung maizena</t>
  </si>
  <si>
    <t>Minyak goreng filma 2L</t>
  </si>
  <si>
    <t>Garam</t>
  </si>
  <si>
    <t>bal</t>
  </si>
  <si>
    <t>Gula pasir (1kg)</t>
  </si>
  <si>
    <t>Saori saos tiram 1L</t>
  </si>
  <si>
    <t>botol</t>
  </si>
  <si>
    <t>Ayam fillet dada</t>
  </si>
  <si>
    <t>Tahu kuning</t>
  </si>
  <si>
    <t>Bawang putih kupas</t>
  </si>
  <si>
    <t>Bawang merah kupas</t>
  </si>
  <si>
    <t>Bombay</t>
  </si>
  <si>
    <t>Wortel</t>
  </si>
  <si>
    <t>Gubis</t>
  </si>
  <si>
    <t>Kentang</t>
  </si>
  <si>
    <t>bawang goreng</t>
  </si>
  <si>
    <t>Seledri</t>
  </si>
  <si>
    <t>Daun pre</t>
  </si>
  <si>
    <t>Lettuce</t>
  </si>
  <si>
    <t>No. 002/PO/BMK/IX/2026</t>
  </si>
  <si>
    <t>No. 003/PO/BMK/IX/2026</t>
  </si>
  <si>
    <t>No. 004/PO/BMK/IX/2026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</si>
</sst>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Rp-3809]* #,##0.00_-;\-[$Rp-3809]* #,##0.00_-;_-[$Rp-3809]* &quot;-&quot;??_-;_-@_-"/>
    <numFmt numFmtId="165" formatCode="_([$Rp-421]* #,##0.00_);_([$Rp-421]* \(#,##0.00\);_([$Rp-421]* &quot;-&quot;_);_(@_)"/>
    <numFmt numFmtId="166" formatCode="_([$Rp-421]* #,##0_);_([$Rp-421]* \(#,##0\);_([$Rp-421]* &quot;-&quot;_);_(@_)"/>
    <numFmt numFmtId="167" formatCode="_-[$Rp-421]* #,##0.00_-;\-[$Rp-421]* #,##0.00_-;_-[$Rp-421]* &quot;-&quot;??_-;_-@_-"/>
  </numFmts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Aptos Narrow"/>
      <family val="2"/>
      <scheme val="minor"/>
    </font>
    <font>
      <b/>
      <sz val="12"/>
      <color rgb="FF3D85C6"/>
      <name val="Times New Roman"/>
      <family val="1"/>
    </font>
    <font>
      <b/>
      <i/>
      <sz val="12"/>
      <color rgb="FF3D85C6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u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D9D9D9"/>
        <bgColor rgb="FFD9D9D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5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1" xfId="0" quotePrefix="1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6" fillId="0" borderId="0" xfId="1" applyFont="1"/>
    <xf numFmtId="0" fontId="2" fillId="0" borderId="0" xfId="1" applyFont="1" applyAlignment="1">
      <alignment vertical="center"/>
    </xf>
    <xf numFmtId="0" fontId="2" fillId="0" borderId="2" xfId="1" applyFont="1" applyBorder="1"/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left" vertical="center"/>
    </xf>
    <xf numFmtId="14" fontId="7" fillId="0" borderId="0" xfId="1" applyNumberFormat="1" applyFont="1" applyAlignment="1">
      <alignment vertical="center"/>
    </xf>
    <xf numFmtId="0" fontId="7" fillId="0" borderId="0" xfId="1" applyFont="1" applyAlignment="1">
      <alignment horizontal="left" vertical="center" wrapText="1"/>
    </xf>
    <xf numFmtId="0" fontId="1" fillId="3" borderId="5" xfId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wrapText="1"/>
    </xf>
    <xf numFmtId="165" fontId="1" fillId="0" borderId="12" xfId="1" applyNumberFormat="1" applyFont="1" applyBorder="1" applyAlignment="1">
      <alignment vertical="center" wrapText="1"/>
    </xf>
    <xf numFmtId="166" fontId="2" fillId="0" borderId="0" xfId="1" applyNumberFormat="1" applyFont="1" applyAlignment="1">
      <alignment vertical="center"/>
    </xf>
    <xf numFmtId="167" fontId="2" fillId="0" borderId="0" xfId="1" applyNumberFormat="1" applyFont="1" applyAlignment="1">
      <alignment vertical="center"/>
    </xf>
    <xf numFmtId="0" fontId="1" fillId="0" borderId="0" xfId="1" applyFont="1" applyAlignment="1">
      <alignment vertical="center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horizontal="left" wrapText="1"/>
    </xf>
    <xf numFmtId="0" fontId="2" fillId="0" borderId="13" xfId="0" applyFont="1" applyBorder="1" applyAlignment="1">
      <alignment horizontal="center" wrapText="1"/>
    </xf>
    <xf numFmtId="164" fontId="2" fillId="0" borderId="13" xfId="0" applyNumberFormat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8" xfId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6" fillId="0" borderId="0" xfId="1" applyFont="1"/>
    <xf numFmtId="0" fontId="2" fillId="0" borderId="0" xfId="1" applyFont="1" applyAlignment="1">
      <alignment horizontal="center"/>
    </xf>
    <xf numFmtId="0" fontId="1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3" borderId="3" xfId="1" applyFont="1" applyFill="1" applyBorder="1" applyAlignment="1">
      <alignment horizontal="center" vertical="center" wrapText="1"/>
    </xf>
    <xf numFmtId="0" fontId="8" fillId="0" borderId="4" xfId="1" applyFont="1" applyBorder="1"/>
    <xf numFmtId="0" fontId="1" fillId="3" borderId="6" xfId="1" applyFont="1" applyFill="1" applyBorder="1" applyAlignment="1">
      <alignment horizontal="center" vertical="center" wrapText="1"/>
    </xf>
    <xf numFmtId="0" fontId="8" fillId="0" borderId="7" xfId="1" applyFont="1" applyBorder="1"/>
    <xf numFmtId="0" fontId="9" fillId="0" borderId="0" xfId="1" applyFont="1" applyAlignment="1">
      <alignment vertical="center"/>
    </xf>
    <xf numFmtId="0" fontId="9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1" fillId="0" borderId="9" xfId="1" applyFont="1" applyBorder="1" applyAlignment="1">
      <alignment horizontal="center" vertical="center" wrapText="1"/>
    </xf>
    <xf numFmtId="0" fontId="8" fillId="0" borderId="10" xfId="1" applyFont="1" applyBorder="1"/>
    <xf numFmtId="0" fontId="8" fillId="0" borderId="11" xfId="1" applyFont="1" applyBorder="1"/>
    <xf numFmtId="0" fontId="2" fillId="0" borderId="0" xfId="1" applyFont="1" applyAlignment="1">
      <alignment horizontal="left" vertical="center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Normal 2" xfId="1" xr:uid="{7E25D28D-468A-4731-A487-A03D59342DA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847725" cy="847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8946656A-238A-4EFA-AD24-9DD87DC2082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0"/>
          <a:ext cx="847725" cy="847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847725" cy="847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6C70192-95D8-4557-86C4-7ED5DD7E82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0"/>
          <a:ext cx="847725" cy="8477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847725" cy="847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725FC9B3-D4D7-448F-B4CE-27CA84273C8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0"/>
          <a:ext cx="847725" cy="8477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0</xdr:rowOff>
    </xdr:from>
    <xdr:ext cx="847725" cy="84772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952F76F9-3300-4848-A01A-4333E6E9968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0" y="0"/>
          <a:ext cx="847725" cy="8477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BAFE3-B193-43B8-9B0D-83D90E93C238}">
  <sheetPr codeName="Sheet1"/>
  <dimension ref="A1:F18"/>
  <sheetViews>
    <sheetView tabSelected="1" topLeftCell="B1" zoomScale="84" workbookViewId="0">
      <selection activeCell="F5" sqref="F5"/>
    </sheetView>
  </sheetViews>
  <sheetFormatPr defaultColWidth="8.7109375" defaultRowHeight="15.75" x14ac:dyDescent="0.25"/>
  <cols>
    <col min="1" max="1" width="4.85546875" style="2" customWidth="1"/>
    <col min="2" max="2" width="16.42578125" style="2" customWidth="1"/>
    <col min="3" max="3" width="14.85546875" style="2" customWidth="1"/>
    <col min="4" max="4" width="16.140625" style="2" customWidth="1"/>
    <col min="5" max="5" width="19.5703125" style="2" customWidth="1"/>
    <col min="6" max="6" width="26.85546875" style="2" customWidth="1"/>
    <col min="7" max="16384" width="8.7109375" style="2"/>
  </cols>
  <sheetData>
    <row r="1" spans="1:6" x14ac:dyDescent="0.25">
      <c r="A1" s="50" t="s">
        <v>0</v>
      </c>
      <c r="B1" s="50"/>
      <c r="C1" s="50"/>
      <c r="D1" s="50"/>
      <c r="E1" s="50"/>
      <c r="F1" s="50"/>
    </row>
    <row r="3" spans="1:6" s="1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</row>
    <row r="4" spans="1:6" ht="47.25" x14ac:dyDescent="0.25">
      <c r="A4" s="4">
        <v>1</v>
      </c>
      <c r="B4" s="5" t="s">
        <v>7</v>
      </c>
      <c r="C4" s="5" t="s">
        <v>8</v>
      </c>
      <c r="D4" s="6" t="s">
        <v>9</v>
      </c>
      <c r="E4" s="7" t="s">
        <v>10</v>
      </c>
      <c r="F4" s="5" t="s">
        <v>11</v>
      </c>
    </row>
    <row r="5" spans="1:6" ht="63" x14ac:dyDescent="0.25">
      <c r="A5" s="4">
        <v>2</v>
      </c>
      <c r="B5" s="5" t="s">
        <v>12</v>
      </c>
      <c r="C5" s="7" t="s">
        <v>13</v>
      </c>
      <c r="D5" s="8" t="s">
        <v>14</v>
      </c>
      <c r="E5" s="7" t="s">
        <v>15</v>
      </c>
      <c r="F5" s="5" t="s">
        <v>16</v>
      </c>
    </row>
    <row r="6" spans="1:6" ht="47.25" x14ac:dyDescent="0.25">
      <c r="A6" s="4">
        <v>3</v>
      </c>
      <c r="B6" s="5" t="s">
        <v>17</v>
      </c>
      <c r="C6" s="7" t="s">
        <v>18</v>
      </c>
      <c r="D6" s="8" t="s">
        <v>19</v>
      </c>
      <c r="E6" s="7" t="s">
        <v>20</v>
      </c>
      <c r="F6" s="5" t="s">
        <v>21</v>
      </c>
    </row>
    <row r="7" spans="1:6" ht="78.75" x14ac:dyDescent="0.25">
      <c r="A7" s="4">
        <v>4</v>
      </c>
      <c r="B7" s="7" t="s">
        <v>22</v>
      </c>
      <c r="C7" s="7" t="s">
        <v>23</v>
      </c>
      <c r="D7" s="8" t="s">
        <v>24</v>
      </c>
      <c r="E7" s="5" t="s">
        <v>25</v>
      </c>
      <c r="F7" s="9" t="s">
        <v>26</v>
      </c>
    </row>
    <row r="8" spans="1:6" ht="31.5" x14ac:dyDescent="0.25">
      <c r="A8" s="4">
        <v>5</v>
      </c>
      <c r="B8" s="7" t="s">
        <v>27</v>
      </c>
      <c r="C8" s="7" t="s">
        <v>28</v>
      </c>
      <c r="D8" s="8" t="s">
        <v>29</v>
      </c>
      <c r="E8" s="7" t="s">
        <v>30</v>
      </c>
      <c r="F8" s="5" t="s">
        <v>31</v>
      </c>
    </row>
    <row r="9" spans="1:6" ht="47.25" x14ac:dyDescent="0.25">
      <c r="A9" s="4">
        <v>6</v>
      </c>
      <c r="B9" s="5" t="s">
        <v>32</v>
      </c>
      <c r="C9" s="7" t="s">
        <v>33</v>
      </c>
      <c r="D9" s="8" t="s">
        <v>34</v>
      </c>
      <c r="E9" s="7" t="s">
        <v>35</v>
      </c>
      <c r="F9" s="5" t="s">
        <v>36</v>
      </c>
    </row>
    <row r="10" spans="1:6" ht="63" x14ac:dyDescent="0.25">
      <c r="A10" s="4">
        <v>7</v>
      </c>
      <c r="B10" s="5" t="s">
        <v>37</v>
      </c>
      <c r="C10" s="7" t="s">
        <v>38</v>
      </c>
      <c r="D10" s="8" t="s">
        <v>39</v>
      </c>
      <c r="E10" s="7" t="s">
        <v>40</v>
      </c>
      <c r="F10" s="5" t="s">
        <v>41</v>
      </c>
    </row>
    <row r="11" spans="1:6" ht="47.25" x14ac:dyDescent="0.25">
      <c r="A11" s="4">
        <v>8</v>
      </c>
      <c r="B11" s="7" t="s">
        <v>42</v>
      </c>
      <c r="C11" s="7" t="s">
        <v>43</v>
      </c>
      <c r="D11" s="8" t="s">
        <v>44</v>
      </c>
      <c r="E11" s="7" t="s">
        <v>45</v>
      </c>
      <c r="F11" s="5" t="s">
        <v>46</v>
      </c>
    </row>
    <row r="12" spans="1:6" ht="63" x14ac:dyDescent="0.25">
      <c r="A12" s="4">
        <v>9</v>
      </c>
      <c r="B12" s="7" t="s">
        <v>47</v>
      </c>
      <c r="C12" s="5" t="s">
        <v>48</v>
      </c>
      <c r="D12" s="8" t="s">
        <v>49</v>
      </c>
      <c r="E12" s="5" t="s">
        <v>50</v>
      </c>
      <c r="F12" s="5" t="s">
        <v>51</v>
      </c>
    </row>
    <row r="13" spans="1:6" ht="47.25" x14ac:dyDescent="0.25">
      <c r="A13" s="4">
        <v>10</v>
      </c>
      <c r="B13" s="7" t="s">
        <v>52</v>
      </c>
      <c r="C13" s="5" t="s">
        <v>53</v>
      </c>
      <c r="D13" s="8" t="s">
        <v>54</v>
      </c>
      <c r="E13" s="7" t="s">
        <v>55</v>
      </c>
      <c r="F13" s="5" t="s">
        <v>56</v>
      </c>
    </row>
    <row r="14" spans="1:6" ht="63" x14ac:dyDescent="0.25">
      <c r="A14" s="4">
        <v>11</v>
      </c>
      <c r="B14" s="5" t="s">
        <v>57</v>
      </c>
      <c r="C14" s="5" t="s">
        <v>58</v>
      </c>
      <c r="D14" s="8" t="s">
        <v>59</v>
      </c>
      <c r="E14" s="5" t="s">
        <v>60</v>
      </c>
      <c r="F14" s="5" t="s">
        <v>61</v>
      </c>
    </row>
    <row r="15" spans="1:6" ht="63" x14ac:dyDescent="0.25">
      <c r="A15" s="4">
        <v>12</v>
      </c>
      <c r="B15" s="5" t="s">
        <v>90</v>
      </c>
      <c r="C15" s="5" t="s">
        <v>91</v>
      </c>
      <c r="D15" s="8" t="s">
        <v>92</v>
      </c>
      <c r="E15" s="5" t="s">
        <v>50</v>
      </c>
      <c r="F15" s="5" t="s">
        <v>93</v>
      </c>
    </row>
    <row r="16" spans="1:6" x14ac:dyDescent="0.25">
      <c r="A16" s="10"/>
    </row>
    <row r="17" spans="1:1" x14ac:dyDescent="0.25">
      <c r="A17" s="10"/>
    </row>
    <row r="18" spans="1:1" x14ac:dyDescent="0.25">
      <c r="A18" s="10"/>
    </row>
  </sheetData>
  <mergeCells count="1">
    <mergeCell ref="A1:F1"/>
  </mergeCells>
  <pageMargins left="0.25" right="0.25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6EEC-6051-4995-A19D-EFEBE7E88705}">
  <sheetPr codeName="Sheet2">
    <outlinePr summaryBelow="0" summaryRight="0"/>
  </sheetPr>
  <dimension ref="A1:W56"/>
  <sheetViews>
    <sheetView topLeftCell="A4" workbookViewId="0">
      <selection activeCell="A6" sqref="A6:G6"/>
    </sheetView>
  </sheetViews>
  <sheetFormatPr defaultColWidth="12.5703125" defaultRowHeight="15.75" customHeight="1" x14ac:dyDescent="0.25"/>
  <cols>
    <col min="1" max="1" width="7.85546875" style="11" customWidth="1"/>
    <col min="2" max="2" width="2.140625" style="11" customWidth="1"/>
    <col min="3" max="3" width="28.42578125" style="11" customWidth="1"/>
    <col min="4" max="5" width="10.140625" style="11" customWidth="1"/>
    <col min="6" max="6" width="15.42578125" style="11" customWidth="1"/>
    <col min="7" max="7" width="18.140625" style="11" customWidth="1"/>
    <col min="8" max="8" width="15.85546875" style="11" customWidth="1"/>
    <col min="9" max="9" width="15.28515625" style="11" customWidth="1"/>
    <col min="10" max="10" width="17.28515625" style="11" customWidth="1"/>
    <col min="11" max="14" width="7.85546875" style="11" customWidth="1"/>
    <col min="15" max="15" width="9.85546875" style="11" customWidth="1"/>
    <col min="16" max="23" width="7.85546875" style="11" customWidth="1"/>
    <col min="24" max="16384" width="12.5703125" style="11"/>
  </cols>
  <sheetData>
    <row r="1" spans="1:23" ht="18.75" customHeight="1" x14ac:dyDescent="0.25">
      <c r="A1" s="34" t="s">
        <v>62</v>
      </c>
      <c r="B1" s="35"/>
      <c r="C1" s="35"/>
      <c r="D1" s="35"/>
      <c r="E1" s="35"/>
      <c r="F1" s="35"/>
      <c r="G1" s="3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.75" customHeight="1" x14ac:dyDescent="0.25">
      <c r="A2" s="36" t="s">
        <v>63</v>
      </c>
      <c r="B2" s="35"/>
      <c r="C2" s="35"/>
      <c r="D2" s="35"/>
      <c r="E2" s="35"/>
      <c r="F2" s="35"/>
      <c r="G2" s="35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.75" customHeight="1" x14ac:dyDescent="0.25">
      <c r="A3" s="36" t="s">
        <v>64</v>
      </c>
      <c r="B3" s="35"/>
      <c r="C3" s="35"/>
      <c r="D3" s="35"/>
      <c r="E3" s="35"/>
      <c r="F3" s="35"/>
      <c r="G3" s="3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8.75" customHeight="1" thickBot="1" x14ac:dyDescent="0.3">
      <c r="A4" s="13"/>
      <c r="B4" s="13"/>
      <c r="C4" s="13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8.75" customHeight="1" x14ac:dyDescent="0.25">
      <c r="A5" s="37" t="s">
        <v>65</v>
      </c>
      <c r="B5" s="35"/>
      <c r="C5" s="35"/>
      <c r="D5" s="35"/>
      <c r="E5" s="35"/>
      <c r="F5" s="35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8.75" customHeight="1" x14ac:dyDescent="0.25">
      <c r="A6" s="38" t="s">
        <v>89</v>
      </c>
      <c r="B6" s="35"/>
      <c r="C6" s="35"/>
      <c r="D6" s="35"/>
      <c r="E6" s="35"/>
      <c r="F6" s="35"/>
      <c r="G6" s="35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8.75" customHeight="1" x14ac:dyDescent="0.25">
      <c r="A7" s="12"/>
      <c r="B7" s="12"/>
      <c r="C7" s="16"/>
      <c r="D7" s="1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8.75" customHeight="1" x14ac:dyDescent="0.25">
      <c r="A8" s="17" t="s">
        <v>66</v>
      </c>
      <c r="B8" s="17" t="s">
        <v>67</v>
      </c>
      <c r="C8" s="17" t="s">
        <v>68</v>
      </c>
      <c r="D8" s="18"/>
      <c r="E8" s="17"/>
      <c r="F8" s="17" t="s">
        <v>69</v>
      </c>
      <c r="G8" s="19">
        <v>46265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8.75" customHeight="1" x14ac:dyDescent="0.25">
      <c r="A9" s="17" t="s">
        <v>70</v>
      </c>
      <c r="B9" s="17" t="s">
        <v>67</v>
      </c>
      <c r="C9" s="17" t="s">
        <v>71</v>
      </c>
      <c r="D9" s="18"/>
      <c r="E9" s="17"/>
      <c r="F9" s="17" t="s">
        <v>72</v>
      </c>
      <c r="G9" s="19">
        <v>46265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8.75" customHeight="1" x14ac:dyDescent="0.25">
      <c r="A10" s="17" t="s">
        <v>73</v>
      </c>
      <c r="B10" s="17" t="s">
        <v>67</v>
      </c>
      <c r="C10" s="17" t="s">
        <v>47</v>
      </c>
      <c r="D10" s="18"/>
      <c r="E10" s="17"/>
      <c r="F10" s="17"/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60" x14ac:dyDescent="0.25">
      <c r="A11" s="17" t="s">
        <v>6</v>
      </c>
      <c r="B11" s="17" t="s">
        <v>67</v>
      </c>
      <c r="C11" s="20" t="str">
        <f>VLOOKUP(C10,'Data Base Suplayer'!B4:F15,5)</f>
        <v>Kemantren Gang 1, RT 7 RW 1 Kel. Kemantren Kec. Tulangan. Kab. Sidoarjo. Kode Pos 61273</v>
      </c>
      <c r="D11" s="18"/>
      <c r="E11" s="17"/>
      <c r="F11" s="17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8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.75" customHeight="1" x14ac:dyDescent="0.25">
      <c r="A13" s="39" t="s">
        <v>74</v>
      </c>
      <c r="B13" s="40"/>
      <c r="C13" s="21" t="s">
        <v>75</v>
      </c>
      <c r="D13" s="41" t="s">
        <v>76</v>
      </c>
      <c r="E13" s="42"/>
      <c r="F13" s="21" t="s">
        <v>77</v>
      </c>
      <c r="G13" s="21" t="s">
        <v>78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.75" customHeight="1" x14ac:dyDescent="0.25">
      <c r="A14" s="32">
        <v>1</v>
      </c>
      <c r="B14" s="33"/>
      <c r="C14" s="27" t="s">
        <v>94</v>
      </c>
      <c r="D14" s="28">
        <v>10</v>
      </c>
      <c r="E14" s="28" t="s">
        <v>79</v>
      </c>
      <c r="F14" s="22">
        <v>15750</v>
      </c>
      <c r="G14" s="22">
        <f>D14*F14</f>
        <v>157500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.75" customHeight="1" x14ac:dyDescent="0.25">
      <c r="A15" s="32">
        <v>2</v>
      </c>
      <c r="B15" s="33"/>
      <c r="C15" s="27" t="s">
        <v>95</v>
      </c>
      <c r="D15" s="28">
        <v>30</v>
      </c>
      <c r="E15" s="28" t="s">
        <v>79</v>
      </c>
      <c r="F15" s="22">
        <v>18000</v>
      </c>
      <c r="G15" s="22">
        <f t="shared" ref="G15:G23" si="0">D15*F15</f>
        <v>540000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.75" customHeight="1" x14ac:dyDescent="0.25">
      <c r="A16" s="32">
        <v>3</v>
      </c>
      <c r="B16" s="33"/>
      <c r="C16" s="27" t="s">
        <v>96</v>
      </c>
      <c r="D16" s="28">
        <v>144</v>
      </c>
      <c r="E16" s="28" t="s">
        <v>79</v>
      </c>
      <c r="F16" s="22">
        <v>40000</v>
      </c>
      <c r="G16" s="22">
        <f t="shared" si="0"/>
        <v>5760000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.75" customHeight="1" x14ac:dyDescent="0.25">
      <c r="A17" s="32">
        <v>4</v>
      </c>
      <c r="B17" s="33"/>
      <c r="C17" s="27" t="s">
        <v>81</v>
      </c>
      <c r="D17" s="28">
        <v>2</v>
      </c>
      <c r="E17" s="28" t="s">
        <v>79</v>
      </c>
      <c r="F17" s="22">
        <v>107000</v>
      </c>
      <c r="G17" s="22">
        <f t="shared" si="0"/>
        <v>214000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.75" customHeight="1" x14ac:dyDescent="0.25">
      <c r="A18" s="32">
        <v>5</v>
      </c>
      <c r="B18" s="33"/>
      <c r="C18" s="27" t="s">
        <v>97</v>
      </c>
      <c r="D18" s="28">
        <v>6</v>
      </c>
      <c r="E18" s="28" t="s">
        <v>79</v>
      </c>
      <c r="F18" s="22">
        <v>18000</v>
      </c>
      <c r="G18" s="22">
        <f t="shared" si="0"/>
        <v>108000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.75" customHeight="1" x14ac:dyDescent="0.25">
      <c r="A19" s="32">
        <v>6</v>
      </c>
      <c r="B19" s="33"/>
      <c r="C19" s="27" t="s">
        <v>98</v>
      </c>
      <c r="D19" s="28">
        <v>6</v>
      </c>
      <c r="E19" s="28" t="s">
        <v>79</v>
      </c>
      <c r="F19" s="22">
        <v>27500</v>
      </c>
      <c r="G19" s="22">
        <f t="shared" si="0"/>
        <v>165000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.75" customHeight="1" x14ac:dyDescent="0.25">
      <c r="A20" s="32">
        <v>7</v>
      </c>
      <c r="B20" s="33"/>
      <c r="C20" s="27" t="s">
        <v>99</v>
      </c>
      <c r="D20" s="28">
        <v>42</v>
      </c>
      <c r="E20" s="28" t="s">
        <v>80</v>
      </c>
      <c r="F20" s="22">
        <v>43700</v>
      </c>
      <c r="G20" s="22">
        <f t="shared" si="0"/>
        <v>1835400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.75" customHeight="1" x14ac:dyDescent="0.25">
      <c r="A21" s="32">
        <v>8</v>
      </c>
      <c r="B21" s="33"/>
      <c r="C21" s="27" t="s">
        <v>100</v>
      </c>
      <c r="D21" s="28">
        <v>1</v>
      </c>
      <c r="E21" s="28" t="s">
        <v>101</v>
      </c>
      <c r="F21" s="22">
        <v>70000</v>
      </c>
      <c r="G21" s="22">
        <f t="shared" si="0"/>
        <v>70000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.75" customHeight="1" x14ac:dyDescent="0.25">
      <c r="A22" s="32">
        <v>9</v>
      </c>
      <c r="B22" s="33"/>
      <c r="C22" s="27" t="s">
        <v>102</v>
      </c>
      <c r="D22" s="28">
        <v>5</v>
      </c>
      <c r="E22" s="28" t="s">
        <v>79</v>
      </c>
      <c r="F22" s="22">
        <v>18500</v>
      </c>
      <c r="G22" s="22">
        <f t="shared" si="0"/>
        <v>92500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.75" customHeight="1" x14ac:dyDescent="0.25">
      <c r="A23" s="32">
        <v>10</v>
      </c>
      <c r="B23" s="33"/>
      <c r="C23" s="27" t="s">
        <v>103</v>
      </c>
      <c r="D23" s="28">
        <v>5</v>
      </c>
      <c r="E23" s="28" t="s">
        <v>104</v>
      </c>
      <c r="F23" s="22">
        <v>57000</v>
      </c>
      <c r="G23" s="22">
        <f t="shared" si="0"/>
        <v>285000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.75" customHeight="1" x14ac:dyDescent="0.25">
      <c r="A24" s="46" t="s">
        <v>82</v>
      </c>
      <c r="B24" s="47"/>
      <c r="C24" s="47"/>
      <c r="D24" s="47"/>
      <c r="E24" s="47"/>
      <c r="F24" s="48"/>
      <c r="G24" s="23">
        <f>SUM(G14:G23)</f>
        <v>9227400</v>
      </c>
      <c r="H24" s="2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.75" customHeight="1" x14ac:dyDescent="0.25">
      <c r="A25" s="45"/>
      <c r="B25" s="35"/>
      <c r="C25" s="12"/>
      <c r="D25" s="12"/>
      <c r="E25" s="12"/>
      <c r="F25" s="12"/>
      <c r="G25" s="12"/>
      <c r="H25" s="2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8.75" customHeight="1" x14ac:dyDescent="0.25">
      <c r="A26" s="12"/>
      <c r="B26" s="12"/>
      <c r="C26" s="12"/>
      <c r="D26" s="12"/>
      <c r="E26" s="12"/>
      <c r="F26" s="49"/>
      <c r="G26" s="4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8.75" customHeight="1" x14ac:dyDescent="0.25">
      <c r="A27" s="12"/>
      <c r="B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8.75" customHeight="1" x14ac:dyDescent="0.25">
      <c r="A28" s="26" t="s">
        <v>83</v>
      </c>
      <c r="B28" s="26"/>
      <c r="C28" s="26"/>
      <c r="F28" s="37" t="s">
        <v>84</v>
      </c>
      <c r="G28" s="3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8.75" customHeight="1" x14ac:dyDescent="0.25">
      <c r="A29" s="45"/>
      <c r="B29" s="35"/>
      <c r="C29" s="12"/>
      <c r="F29" s="14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8.75" customHeight="1" x14ac:dyDescent="0.25">
      <c r="A30" s="35"/>
      <c r="B30" s="3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8.75" customHeight="1" x14ac:dyDescent="0.25">
      <c r="A31" s="35"/>
      <c r="B31" s="3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8.75" customHeight="1" x14ac:dyDescent="0.25">
      <c r="A32" s="43" t="s">
        <v>85</v>
      </c>
      <c r="B32" s="43"/>
      <c r="C32" s="43"/>
      <c r="F32" s="44" t="s">
        <v>86</v>
      </c>
      <c r="G32" s="44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8.75" customHeight="1" x14ac:dyDescent="0.25">
      <c r="A33" s="45" t="s">
        <v>87</v>
      </c>
      <c r="B33" s="45"/>
      <c r="C33" s="45"/>
      <c r="F33" s="38" t="s">
        <v>88</v>
      </c>
      <c r="G33" s="3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8.75" customHeight="1" x14ac:dyDescent="0.25">
      <c r="A34" s="12"/>
      <c r="B34" s="12"/>
      <c r="C34" s="12"/>
      <c r="D34" s="12"/>
      <c r="E34" s="15"/>
      <c r="F34" s="15"/>
      <c r="G34" s="15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8.75" customHeight="1" x14ac:dyDescent="0.25">
      <c r="A35" s="12"/>
      <c r="B35" s="12"/>
      <c r="C35" s="12"/>
      <c r="D35" s="12"/>
      <c r="E35" s="15"/>
      <c r="F35" s="15"/>
      <c r="G35" s="15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8.75" customHeight="1" x14ac:dyDescent="0.25">
      <c r="A36" s="12"/>
      <c r="B36" s="12"/>
      <c r="C36" s="12"/>
      <c r="D36" s="12"/>
      <c r="E36" s="15"/>
      <c r="F36" s="15"/>
      <c r="G36" s="15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8.75" customHeight="1" x14ac:dyDescent="0.25">
      <c r="A37" s="12"/>
      <c r="B37" s="12"/>
      <c r="C37" s="12"/>
      <c r="D37" s="12"/>
      <c r="E37" s="15"/>
      <c r="F37" s="15"/>
      <c r="G37" s="15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8.75" customHeight="1" x14ac:dyDescent="0.25">
      <c r="A38" s="12"/>
      <c r="B38" s="12"/>
      <c r="C38" s="12"/>
      <c r="D38" s="12"/>
      <c r="E38" s="15"/>
      <c r="F38" s="15"/>
      <c r="G38" s="1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8.75" customHeight="1" x14ac:dyDescent="0.25">
      <c r="A39" s="12"/>
      <c r="B39" s="12"/>
      <c r="C39" s="12"/>
      <c r="D39" s="12"/>
      <c r="E39" s="15"/>
      <c r="F39" s="15"/>
      <c r="G39" s="15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8.75" customHeight="1" x14ac:dyDescent="0.25">
      <c r="A40" s="12"/>
      <c r="B40" s="12"/>
      <c r="C40" s="12"/>
      <c r="D40" s="12"/>
      <c r="E40" s="15"/>
      <c r="F40" s="15"/>
      <c r="G40" s="1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8.75" customHeight="1" x14ac:dyDescent="0.25">
      <c r="A41" s="12"/>
      <c r="B41" s="12"/>
      <c r="C41" s="12"/>
      <c r="D41" s="12"/>
      <c r="E41" s="15"/>
      <c r="F41" s="15"/>
      <c r="G41" s="1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8.75" customHeight="1" x14ac:dyDescent="0.25">
      <c r="A42" s="12"/>
      <c r="B42" s="12"/>
      <c r="C42" s="12"/>
      <c r="D42" s="12"/>
      <c r="E42" s="15"/>
      <c r="F42" s="15"/>
      <c r="G42" s="1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8.75" customHeight="1" x14ac:dyDescent="0.25">
      <c r="A43" s="12"/>
      <c r="B43" s="12"/>
      <c r="C43" s="12"/>
      <c r="D43" s="12"/>
      <c r="E43" s="15"/>
      <c r="F43" s="15"/>
      <c r="G43" s="1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8.75" customHeight="1" x14ac:dyDescent="0.25">
      <c r="A44" s="12"/>
      <c r="B44" s="12"/>
      <c r="C44" s="12"/>
      <c r="D44" s="12"/>
      <c r="E44" s="15"/>
      <c r="F44" s="15"/>
      <c r="G44" s="1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8.75" customHeight="1" x14ac:dyDescent="0.25">
      <c r="A45" s="12"/>
      <c r="B45" s="12"/>
      <c r="C45" s="12"/>
      <c r="D45" s="12"/>
      <c r="E45" s="15"/>
      <c r="F45" s="15"/>
      <c r="G45" s="1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8.75" customHeight="1" x14ac:dyDescent="0.25">
      <c r="A46" s="12"/>
      <c r="B46" s="12"/>
      <c r="C46" s="12"/>
      <c r="D46" s="12"/>
      <c r="E46" s="15"/>
      <c r="F46" s="15"/>
      <c r="G46" s="1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8.75" customHeight="1" x14ac:dyDescent="0.25">
      <c r="A47" s="12"/>
      <c r="B47" s="12"/>
      <c r="C47" s="12"/>
      <c r="D47" s="12"/>
      <c r="E47" s="15"/>
      <c r="F47" s="15"/>
      <c r="G47" s="1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8.75" customHeight="1" x14ac:dyDescent="0.25">
      <c r="A48" s="12"/>
      <c r="B48" s="12"/>
      <c r="C48" s="12"/>
      <c r="D48" s="12"/>
      <c r="E48" s="15"/>
      <c r="F48" s="15"/>
      <c r="G48" s="15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8.75" customHeight="1" x14ac:dyDescent="0.25">
      <c r="A49" s="12"/>
      <c r="B49" s="12"/>
      <c r="C49" s="12"/>
      <c r="D49" s="12"/>
      <c r="E49" s="15"/>
      <c r="F49" s="15"/>
      <c r="G49" s="1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8.75" customHeight="1" x14ac:dyDescent="0.25">
      <c r="A50" s="12"/>
      <c r="B50" s="12"/>
      <c r="C50" s="12"/>
      <c r="D50" s="12"/>
      <c r="E50" s="15"/>
      <c r="F50" s="15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8.75" customHeight="1" x14ac:dyDescent="0.25">
      <c r="A51" s="12"/>
      <c r="B51" s="12"/>
      <c r="C51" s="12"/>
      <c r="D51" s="12"/>
      <c r="E51" s="15"/>
      <c r="F51" s="15"/>
      <c r="G51" s="15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8.75" customHeight="1" x14ac:dyDescent="0.25">
      <c r="A52" s="12"/>
      <c r="B52" s="12"/>
      <c r="C52" s="12"/>
      <c r="D52" s="12"/>
      <c r="E52" s="15"/>
      <c r="F52" s="15"/>
      <c r="G52" s="15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8.75" customHeight="1" x14ac:dyDescent="0.25">
      <c r="A53" s="12"/>
      <c r="B53" s="12"/>
      <c r="C53" s="12"/>
      <c r="D53" s="12"/>
      <c r="E53" s="15"/>
      <c r="F53" s="15"/>
      <c r="G53" s="15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8.75" customHeight="1" x14ac:dyDescent="0.25">
      <c r="A54" s="12"/>
      <c r="B54" s="12"/>
      <c r="C54" s="12"/>
      <c r="D54" s="12"/>
      <c r="E54" s="15"/>
      <c r="F54" s="15"/>
      <c r="G54" s="15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8.75" customHeight="1" x14ac:dyDescent="0.25">
      <c r="A55" s="12"/>
      <c r="B55" s="12"/>
      <c r="C55" s="12"/>
      <c r="D55" s="12"/>
      <c r="E55" s="15"/>
      <c r="F55" s="15"/>
      <c r="G55" s="15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8.75" customHeight="1" x14ac:dyDescent="0.25">
      <c r="A56" s="12"/>
      <c r="B56" s="12"/>
      <c r="C56" s="12"/>
      <c r="D56" s="12"/>
      <c r="E56" s="15"/>
      <c r="F56" s="15"/>
      <c r="G56" s="15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</sheetData>
  <mergeCells count="26">
    <mergeCell ref="A19:B19"/>
    <mergeCell ref="A1:G1"/>
    <mergeCell ref="A2:G2"/>
    <mergeCell ref="A3:G3"/>
    <mergeCell ref="A5:G5"/>
    <mergeCell ref="A6:G6"/>
    <mergeCell ref="A13:B13"/>
    <mergeCell ref="D13:E13"/>
    <mergeCell ref="A14:B14"/>
    <mergeCell ref="A15:B15"/>
    <mergeCell ref="A16:B16"/>
    <mergeCell ref="A17:B17"/>
    <mergeCell ref="A18:B18"/>
    <mergeCell ref="A33:C33"/>
    <mergeCell ref="F33:G33"/>
    <mergeCell ref="A20:B20"/>
    <mergeCell ref="A21:B21"/>
    <mergeCell ref="A22:B22"/>
    <mergeCell ref="A23:B23"/>
    <mergeCell ref="A24:F24"/>
    <mergeCell ref="A25:B25"/>
    <mergeCell ref="F26:G26"/>
    <mergeCell ref="F28:G28"/>
    <mergeCell ref="A29:B31"/>
    <mergeCell ref="A32:C32"/>
    <mergeCell ref="F32:G32"/>
  </mergeCells>
  <printOptions horizontalCentered="1"/>
  <pageMargins left="0.51181102362204722" right="0.51181102362204722" top="0.74803149606299213" bottom="0.74803149606299213" header="0.31496062992125984" footer="0.31496062992125984"/>
  <pageSetup paperSize="9" fitToWidth="0" pageOrder="overThenDown" orientation="portrait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052E74-21ED-419B-925A-7A2097EDF327}">
          <x14:formula1>
            <xm:f>'Data Base Suplayer'!$B$4:$B$15</xm:f>
          </x14:formula1>
          <xm:sqref>C10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33D3-F090-4A19-A37C-4BAE0D8BE295}">
  <sheetPr codeName="Sheet3">
    <outlinePr summaryBelow="0" summaryRight="0"/>
  </sheetPr>
  <dimension ref="A1:W47"/>
  <sheetViews>
    <sheetView topLeftCell="A3" workbookViewId="0">
      <selection activeCell="G8" sqref="G8"/>
    </sheetView>
  </sheetViews>
  <sheetFormatPr defaultColWidth="12.5703125" defaultRowHeight="15.75" customHeight="1" x14ac:dyDescent="0.25"/>
  <cols>
    <col min="1" max="1" width="7.85546875" style="11" customWidth="1"/>
    <col min="2" max="2" width="2.140625" style="11" customWidth="1"/>
    <col min="3" max="3" width="28.42578125" style="11" customWidth="1"/>
    <col min="4" max="5" width="10.140625" style="11" customWidth="1"/>
    <col min="6" max="6" width="15.42578125" style="11" customWidth="1"/>
    <col min="7" max="7" width="18.140625" style="11" customWidth="1"/>
    <col min="8" max="8" width="15.85546875" style="11" customWidth="1"/>
    <col min="9" max="9" width="15.28515625" style="11" customWidth="1"/>
    <col min="10" max="10" width="17.28515625" style="11" customWidth="1"/>
    <col min="11" max="14" width="7.85546875" style="11" customWidth="1"/>
    <col min="15" max="15" width="9.85546875" style="11" customWidth="1"/>
    <col min="16" max="23" width="7.85546875" style="11" customWidth="1"/>
    <col min="24" max="16384" width="12.5703125" style="11"/>
  </cols>
  <sheetData>
    <row r="1" spans="1:23" ht="18.75" customHeight="1" x14ac:dyDescent="0.25">
      <c r="A1" s="34" t="s">
        <v>62</v>
      </c>
      <c r="B1" s="35"/>
      <c r="C1" s="35"/>
      <c r="D1" s="35"/>
      <c r="E1" s="35"/>
      <c r="F1" s="35"/>
      <c r="G1" s="3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.75" customHeight="1" x14ac:dyDescent="0.25">
      <c r="A2" s="36" t="s">
        <v>63</v>
      </c>
      <c r="B2" s="35"/>
      <c r="C2" s="35"/>
      <c r="D2" s="35"/>
      <c r="E2" s="35"/>
      <c r="F2" s="35"/>
      <c r="G2" s="35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.75" customHeight="1" x14ac:dyDescent="0.25">
      <c r="A3" s="36" t="s">
        <v>64</v>
      </c>
      <c r="B3" s="35"/>
      <c r="C3" s="35"/>
      <c r="D3" s="35"/>
      <c r="E3" s="35"/>
      <c r="F3" s="35"/>
      <c r="G3" s="3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8.75" customHeight="1" thickBot="1" x14ac:dyDescent="0.3">
      <c r="A4" s="13"/>
      <c r="B4" s="13"/>
      <c r="C4" s="13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8.75" customHeight="1" x14ac:dyDescent="0.25">
      <c r="A5" s="37" t="s">
        <v>65</v>
      </c>
      <c r="B5" s="35"/>
      <c r="C5" s="35"/>
      <c r="D5" s="35"/>
      <c r="E5" s="35"/>
      <c r="F5" s="35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8.75" customHeight="1" x14ac:dyDescent="0.25">
      <c r="A6" s="38" t="s">
        <v>117</v>
      </c>
      <c r="B6" s="35"/>
      <c r="C6" s="35"/>
      <c r="D6" s="35"/>
      <c r="E6" s="35"/>
      <c r="F6" s="35"/>
      <c r="G6" s="35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8.75" customHeight="1" x14ac:dyDescent="0.25">
      <c r="A7" s="12"/>
      <c r="B7" s="12"/>
      <c r="C7" s="16"/>
      <c r="D7" s="1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8.75" customHeight="1" x14ac:dyDescent="0.25">
      <c r="A8" s="17" t="s">
        <v>66</v>
      </c>
      <c r="B8" s="17" t="s">
        <v>67</v>
      </c>
      <c r="C8" s="17" t="s">
        <v>68</v>
      </c>
      <c r="D8" s="18"/>
      <c r="E8" s="17"/>
      <c r="F8" s="17" t="s">
        <v>69</v>
      </c>
      <c r="G8" s="19">
        <v>46265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8.75" customHeight="1" x14ac:dyDescent="0.25">
      <c r="A9" s="17" t="s">
        <v>70</v>
      </c>
      <c r="B9" s="17" t="s">
        <v>67</v>
      </c>
      <c r="C9" s="17" t="s">
        <v>71</v>
      </c>
      <c r="D9" s="18"/>
      <c r="E9" s="17"/>
      <c r="F9" s="17" t="s">
        <v>72</v>
      </c>
      <c r="G9" s="19">
        <v>46265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8.75" customHeight="1" x14ac:dyDescent="0.25">
      <c r="A10" s="17" t="s">
        <v>73</v>
      </c>
      <c r="B10" s="17" t="s">
        <v>67</v>
      </c>
      <c r="C10" s="17" t="s">
        <v>27</v>
      </c>
      <c r="D10" s="18"/>
      <c r="E10" s="17"/>
      <c r="F10" s="17"/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30" x14ac:dyDescent="0.25">
      <c r="A11" s="17" t="s">
        <v>6</v>
      </c>
      <c r="B11" s="17" t="s">
        <v>67</v>
      </c>
      <c r="C11" s="20" t="str">
        <f>VLOOKUP(C10,'Data Base Suplayer'!B4:F15,5,0)</f>
        <v>Tanjekwagir, Krembung, Sidoarjo, Jawa Timur</v>
      </c>
      <c r="D11" s="18"/>
      <c r="E11" s="17"/>
      <c r="F11" s="17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8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.75" customHeight="1" x14ac:dyDescent="0.25">
      <c r="A13" s="39" t="s">
        <v>74</v>
      </c>
      <c r="B13" s="40"/>
      <c r="C13" s="21" t="s">
        <v>75</v>
      </c>
      <c r="D13" s="41" t="s">
        <v>76</v>
      </c>
      <c r="E13" s="42"/>
      <c r="F13" s="21" t="s">
        <v>77</v>
      </c>
      <c r="G13" s="21" t="s">
        <v>78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.75" customHeight="1" x14ac:dyDescent="0.25">
      <c r="A14" s="32">
        <v>1</v>
      </c>
      <c r="B14" s="33"/>
      <c r="C14" s="27" t="s">
        <v>105</v>
      </c>
      <c r="D14" s="28">
        <v>161</v>
      </c>
      <c r="E14" s="28" t="s">
        <v>79</v>
      </c>
      <c r="F14" s="22">
        <v>54000</v>
      </c>
      <c r="G14" s="22">
        <f>D14*F14</f>
        <v>8694000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.75" customHeight="1" x14ac:dyDescent="0.25">
      <c r="A15" s="46" t="s">
        <v>82</v>
      </c>
      <c r="B15" s="47"/>
      <c r="C15" s="47"/>
      <c r="D15" s="47"/>
      <c r="E15" s="47"/>
      <c r="F15" s="48"/>
      <c r="G15" s="23">
        <f>SUM(G14:G14)</f>
        <v>8694000</v>
      </c>
      <c r="H15" s="2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.75" customHeight="1" x14ac:dyDescent="0.25">
      <c r="A16" s="45"/>
      <c r="B16" s="35"/>
      <c r="C16" s="12"/>
      <c r="D16" s="12"/>
      <c r="E16" s="12"/>
      <c r="F16" s="12"/>
      <c r="G16" s="12"/>
      <c r="H16" s="2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.75" customHeight="1" x14ac:dyDescent="0.25">
      <c r="A17" s="12"/>
      <c r="B17" s="12"/>
      <c r="C17" s="12"/>
      <c r="D17" s="12"/>
      <c r="E17" s="12"/>
      <c r="F17" s="49"/>
      <c r="G17" s="4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.75" customHeight="1" x14ac:dyDescent="0.25">
      <c r="A18" s="12"/>
      <c r="B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.75" customHeight="1" x14ac:dyDescent="0.25">
      <c r="A19" s="26" t="s">
        <v>83</v>
      </c>
      <c r="B19" s="26"/>
      <c r="C19" s="26"/>
      <c r="F19" s="37" t="s">
        <v>84</v>
      </c>
      <c r="G19" s="3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.75" customHeight="1" x14ac:dyDescent="0.25">
      <c r="A20" s="45"/>
      <c r="B20" s="35"/>
      <c r="C20" s="12"/>
      <c r="F20" s="14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.75" customHeight="1" x14ac:dyDescent="0.25">
      <c r="A21" s="35"/>
      <c r="B21" s="3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.75" customHeight="1" x14ac:dyDescent="0.25">
      <c r="A22" s="35"/>
      <c r="B22" s="3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.75" customHeight="1" x14ac:dyDescent="0.25">
      <c r="A23" s="43" t="s">
        <v>85</v>
      </c>
      <c r="B23" s="43"/>
      <c r="C23" s="43"/>
      <c r="F23" s="44" t="s">
        <v>86</v>
      </c>
      <c r="G23" s="44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.75" customHeight="1" x14ac:dyDescent="0.25">
      <c r="A24" s="45" t="s">
        <v>87</v>
      </c>
      <c r="B24" s="45"/>
      <c r="C24" s="45"/>
      <c r="F24" s="38" t="s">
        <v>88</v>
      </c>
      <c r="G24" s="3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.75" customHeight="1" x14ac:dyDescent="0.25">
      <c r="A25" s="12"/>
      <c r="B25" s="12"/>
      <c r="C25" s="12"/>
      <c r="D25" s="12"/>
      <c r="E25" s="15"/>
      <c r="F25" s="15"/>
      <c r="G25" s="1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8.75" customHeight="1" x14ac:dyDescent="0.25">
      <c r="A26" s="12"/>
      <c r="B26" s="12"/>
      <c r="C26" s="12"/>
      <c r="D26" s="12"/>
      <c r="E26" s="15"/>
      <c r="F26" s="15"/>
      <c r="G26" s="1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8.75" customHeight="1" x14ac:dyDescent="0.25">
      <c r="A27" s="12"/>
      <c r="B27" s="12"/>
      <c r="C27" s="12"/>
      <c r="D27" s="12"/>
      <c r="E27" s="15"/>
      <c r="F27" s="15"/>
      <c r="G27" s="1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8.75" customHeight="1" x14ac:dyDescent="0.25">
      <c r="A28" s="12"/>
      <c r="B28" s="12"/>
      <c r="C28" s="12"/>
      <c r="D28" s="12"/>
      <c r="E28" s="15"/>
      <c r="F28" s="15"/>
      <c r="G28" s="1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8.75" customHeight="1" x14ac:dyDescent="0.25">
      <c r="A29" s="12"/>
      <c r="B29" s="12"/>
      <c r="C29" s="12"/>
      <c r="D29" s="12"/>
      <c r="E29" s="15"/>
      <c r="F29" s="15"/>
      <c r="G29" s="15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8.75" customHeight="1" x14ac:dyDescent="0.25">
      <c r="A30" s="12"/>
      <c r="B30" s="12"/>
      <c r="C30" s="12"/>
      <c r="D30" s="12"/>
      <c r="E30" s="15"/>
      <c r="F30" s="15"/>
      <c r="G30" s="1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8.75" customHeight="1" x14ac:dyDescent="0.25">
      <c r="A31" s="12"/>
      <c r="B31" s="12"/>
      <c r="C31" s="12"/>
      <c r="D31" s="12"/>
      <c r="E31" s="15"/>
      <c r="F31" s="15"/>
      <c r="G31" s="1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8.75" customHeight="1" x14ac:dyDescent="0.25">
      <c r="A32" s="12"/>
      <c r="B32" s="12"/>
      <c r="C32" s="12"/>
      <c r="D32" s="12"/>
      <c r="E32" s="15"/>
      <c r="F32" s="15"/>
      <c r="G32" s="15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8.75" customHeight="1" x14ac:dyDescent="0.25">
      <c r="A33" s="12"/>
      <c r="B33" s="12"/>
      <c r="C33" s="12"/>
      <c r="D33" s="12"/>
      <c r="E33" s="15"/>
      <c r="F33" s="15"/>
      <c r="G33" s="15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8.75" customHeight="1" x14ac:dyDescent="0.25">
      <c r="A34" s="12"/>
      <c r="B34" s="12"/>
      <c r="C34" s="12"/>
      <c r="D34" s="12"/>
      <c r="E34" s="15"/>
      <c r="F34" s="15"/>
      <c r="G34" s="15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8.75" customHeight="1" x14ac:dyDescent="0.25">
      <c r="A35" s="12"/>
      <c r="B35" s="12"/>
      <c r="C35" s="12"/>
      <c r="D35" s="12"/>
      <c r="E35" s="15"/>
      <c r="F35" s="15"/>
      <c r="G35" s="15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8.75" customHeight="1" x14ac:dyDescent="0.25">
      <c r="A36" s="12"/>
      <c r="B36" s="12"/>
      <c r="C36" s="12"/>
      <c r="D36" s="12"/>
      <c r="E36" s="15"/>
      <c r="F36" s="15"/>
      <c r="G36" s="15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8.75" customHeight="1" x14ac:dyDescent="0.25">
      <c r="A37" s="12"/>
      <c r="B37" s="12"/>
      <c r="C37" s="12"/>
      <c r="D37" s="12"/>
      <c r="E37" s="15"/>
      <c r="F37" s="15"/>
      <c r="G37" s="15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8.75" customHeight="1" x14ac:dyDescent="0.25">
      <c r="A38" s="12"/>
      <c r="B38" s="12"/>
      <c r="C38" s="12"/>
      <c r="D38" s="12"/>
      <c r="E38" s="15"/>
      <c r="F38" s="15"/>
      <c r="G38" s="1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8.75" customHeight="1" x14ac:dyDescent="0.25">
      <c r="A39" s="12"/>
      <c r="B39" s="12"/>
      <c r="C39" s="12"/>
      <c r="D39" s="12"/>
      <c r="E39" s="15"/>
      <c r="F39" s="15"/>
      <c r="G39" s="15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8.75" customHeight="1" x14ac:dyDescent="0.25">
      <c r="A40" s="12"/>
      <c r="B40" s="12"/>
      <c r="C40" s="12"/>
      <c r="D40" s="12"/>
      <c r="E40" s="15"/>
      <c r="F40" s="15"/>
      <c r="G40" s="1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8.75" customHeight="1" x14ac:dyDescent="0.25">
      <c r="A41" s="12"/>
      <c r="B41" s="12"/>
      <c r="C41" s="12"/>
      <c r="D41" s="12"/>
      <c r="E41" s="15"/>
      <c r="F41" s="15"/>
      <c r="G41" s="1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8.75" customHeight="1" x14ac:dyDescent="0.25">
      <c r="A42" s="12"/>
      <c r="B42" s="12"/>
      <c r="C42" s="12"/>
      <c r="D42" s="12"/>
      <c r="E42" s="15"/>
      <c r="F42" s="15"/>
      <c r="G42" s="1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8.75" customHeight="1" x14ac:dyDescent="0.25">
      <c r="A43" s="12"/>
      <c r="B43" s="12"/>
      <c r="C43" s="12"/>
      <c r="D43" s="12"/>
      <c r="E43" s="15"/>
      <c r="F43" s="15"/>
      <c r="G43" s="1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8.75" customHeight="1" x14ac:dyDescent="0.25">
      <c r="A44" s="12"/>
      <c r="B44" s="12"/>
      <c r="C44" s="12"/>
      <c r="D44" s="12"/>
      <c r="E44" s="15"/>
      <c r="F44" s="15"/>
      <c r="G44" s="1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8.75" customHeight="1" x14ac:dyDescent="0.25">
      <c r="A45" s="12"/>
      <c r="B45" s="12"/>
      <c r="C45" s="12"/>
      <c r="D45" s="12"/>
      <c r="E45" s="15"/>
      <c r="F45" s="15"/>
      <c r="G45" s="1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8.75" customHeight="1" x14ac:dyDescent="0.25">
      <c r="A46" s="12"/>
      <c r="B46" s="12"/>
      <c r="C46" s="12"/>
      <c r="D46" s="12"/>
      <c r="E46" s="15"/>
      <c r="F46" s="15"/>
      <c r="G46" s="1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8.75" customHeight="1" x14ac:dyDescent="0.25">
      <c r="A47" s="12"/>
      <c r="B47" s="12"/>
      <c r="C47" s="12"/>
      <c r="D47" s="12"/>
      <c r="E47" s="15"/>
      <c r="F47" s="15"/>
      <c r="G47" s="1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</sheetData>
  <mergeCells count="17">
    <mergeCell ref="A1:G1"/>
    <mergeCell ref="A2:G2"/>
    <mergeCell ref="A3:G3"/>
    <mergeCell ref="A5:G5"/>
    <mergeCell ref="A6:G6"/>
    <mergeCell ref="A13:B13"/>
    <mergeCell ref="D13:E13"/>
    <mergeCell ref="A14:B14"/>
    <mergeCell ref="A24:C24"/>
    <mergeCell ref="F24:G24"/>
    <mergeCell ref="A15:F15"/>
    <mergeCell ref="A16:B16"/>
    <mergeCell ref="F17:G17"/>
    <mergeCell ref="F19:G19"/>
    <mergeCell ref="A20:B22"/>
    <mergeCell ref="A23:C23"/>
    <mergeCell ref="F23:G23"/>
  </mergeCells>
  <printOptions horizontalCentered="1"/>
  <pageMargins left="0.51181102362204722" right="0.51181102362204722" top="0.74803149606299213" bottom="0.74803149606299213" header="0.31496062992125984" footer="0.31496062992125984"/>
  <pageSetup paperSize="9" fitToWidth="0" pageOrder="overThenDown" orientation="portrait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EBF404-1113-42A9-9DF8-EBF226918439}">
          <x14:formula1>
            <xm:f>'Data Base Suplayer'!$B$4:$B$15</xm:f>
          </x14:formula1>
          <xm:sqref>C10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41D11-8CBD-4FDA-BE15-6B34340C9F09}">
  <sheetPr codeName="Sheet4">
    <outlinePr summaryBelow="0" summaryRight="0"/>
  </sheetPr>
  <dimension ref="A1:W47"/>
  <sheetViews>
    <sheetView topLeftCell="A2" workbookViewId="0">
      <selection activeCell="A7" sqref="A7"/>
    </sheetView>
  </sheetViews>
  <sheetFormatPr defaultColWidth="12.5703125" defaultRowHeight="15.75" customHeight="1" x14ac:dyDescent="0.25"/>
  <cols>
    <col min="1" max="1" width="7.85546875" style="11" customWidth="1"/>
    <col min="2" max="2" width="2.140625" style="11" customWidth="1"/>
    <col min="3" max="3" width="28.42578125" style="11" customWidth="1"/>
    <col min="4" max="5" width="10.140625" style="11" customWidth="1"/>
    <col min="6" max="6" width="15.42578125" style="11" customWidth="1"/>
    <col min="7" max="7" width="18.140625" style="11" customWidth="1"/>
    <col min="8" max="8" width="15.85546875" style="11" customWidth="1"/>
    <col min="9" max="9" width="15.28515625" style="11" customWidth="1"/>
    <col min="10" max="10" width="17.28515625" style="11" customWidth="1"/>
    <col min="11" max="14" width="7.85546875" style="11" customWidth="1"/>
    <col min="15" max="15" width="9.85546875" style="11" customWidth="1"/>
    <col min="16" max="23" width="7.85546875" style="11" customWidth="1"/>
    <col min="24" max="16384" width="12.5703125" style="11"/>
  </cols>
  <sheetData>
    <row r="1" spans="1:23" ht="18.75" customHeight="1" x14ac:dyDescent="0.25">
      <c r="A1" s="34" t="s">
        <v>62</v>
      </c>
      <c r="B1" s="35"/>
      <c r="C1" s="35"/>
      <c r="D1" s="35"/>
      <c r="E1" s="35"/>
      <c r="F1" s="35"/>
      <c r="G1" s="3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.75" customHeight="1" x14ac:dyDescent="0.25">
      <c r="A2" s="36" t="s">
        <v>63</v>
      </c>
      <c r="B2" s="35"/>
      <c r="C2" s="35"/>
      <c r="D2" s="35"/>
      <c r="E2" s="35"/>
      <c r="F2" s="35"/>
      <c r="G2" s="35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.75" customHeight="1" x14ac:dyDescent="0.25">
      <c r="A3" s="36" t="s">
        <v>64</v>
      </c>
      <c r="B3" s="35"/>
      <c r="C3" s="35"/>
      <c r="D3" s="35"/>
      <c r="E3" s="35"/>
      <c r="F3" s="35"/>
      <c r="G3" s="3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8.75" customHeight="1" thickBot="1" x14ac:dyDescent="0.3">
      <c r="A4" s="13"/>
      <c r="B4" s="13"/>
      <c r="C4" s="13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8.75" customHeight="1" x14ac:dyDescent="0.25">
      <c r="A5" s="37" t="s">
        <v>65</v>
      </c>
      <c r="B5" s="35"/>
      <c r="C5" s="35"/>
      <c r="D5" s="35"/>
      <c r="E5" s="35"/>
      <c r="F5" s="35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8.75" customHeight="1" x14ac:dyDescent="0.25">
      <c r="A6" s="38" t="s">
        <v>118</v>
      </c>
      <c r="B6" s="35"/>
      <c r="C6" s="35"/>
      <c r="D6" s="35"/>
      <c r="E6" s="35"/>
      <c r="F6" s="35"/>
      <c r="G6" s="35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8.75" customHeight="1" x14ac:dyDescent="0.25">
      <c r="A7" s="12"/>
      <c r="B7" s="12"/>
      <c r="C7" s="16"/>
      <c r="D7" s="1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8.75" customHeight="1" x14ac:dyDescent="0.25">
      <c r="A8" s="17" t="s">
        <v>66</v>
      </c>
      <c r="B8" s="17" t="s">
        <v>67</v>
      </c>
      <c r="C8" s="17" t="s">
        <v>68</v>
      </c>
      <c r="D8" s="18"/>
      <c r="E8" s="17"/>
      <c r="F8" s="17" t="s">
        <v>69</v>
      </c>
      <c r="G8" s="19">
        <v>46265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8.75" customHeight="1" x14ac:dyDescent="0.25">
      <c r="A9" s="17" t="s">
        <v>70</v>
      </c>
      <c r="B9" s="17" t="s">
        <v>67</v>
      </c>
      <c r="C9" s="17" t="s">
        <v>71</v>
      </c>
      <c r="D9" s="18"/>
      <c r="E9" s="17"/>
      <c r="F9" s="17" t="s">
        <v>72</v>
      </c>
      <c r="G9" s="19">
        <v>46265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8.75" customHeight="1" x14ac:dyDescent="0.25">
      <c r="A10" s="17" t="s">
        <v>73</v>
      </c>
      <c r="B10" s="17" t="s">
        <v>67</v>
      </c>
      <c r="C10" s="17" t="s">
        <v>52</v>
      </c>
      <c r="D10" s="18"/>
      <c r="E10" s="17"/>
      <c r="F10" s="17"/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45" x14ac:dyDescent="0.25">
      <c r="A11" s="17" t="s">
        <v>6</v>
      </c>
      <c r="B11" s="17" t="s">
        <v>67</v>
      </c>
      <c r="C11" s="20" t="str">
        <f>VLOOKUP(C10,'Data Base Suplayer'!B4:F15,5,0)</f>
        <v>Banjarwungu, Kec. Tarik, Sidoarjo, Jawa Timur Kode Pos 61265</v>
      </c>
      <c r="D11" s="18"/>
      <c r="E11" s="17"/>
      <c r="F11" s="17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8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.75" customHeight="1" x14ac:dyDescent="0.25">
      <c r="A13" s="39" t="s">
        <v>74</v>
      </c>
      <c r="B13" s="40"/>
      <c r="C13" s="21" t="s">
        <v>75</v>
      </c>
      <c r="D13" s="41" t="s">
        <v>76</v>
      </c>
      <c r="E13" s="42"/>
      <c r="F13" s="21" t="s">
        <v>77</v>
      </c>
      <c r="G13" s="21" t="s">
        <v>78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.75" customHeight="1" x14ac:dyDescent="0.25">
      <c r="A14" s="32">
        <v>1</v>
      </c>
      <c r="B14" s="33"/>
      <c r="C14" s="27" t="s">
        <v>106</v>
      </c>
      <c r="D14" s="28">
        <v>135</v>
      </c>
      <c r="E14" s="28" t="s">
        <v>79</v>
      </c>
      <c r="F14" s="22">
        <v>13000</v>
      </c>
      <c r="G14" s="22">
        <f>D14*F14</f>
        <v>1755000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.75" customHeight="1" x14ac:dyDescent="0.25">
      <c r="A15" s="46" t="s">
        <v>82</v>
      </c>
      <c r="B15" s="47"/>
      <c r="C15" s="47"/>
      <c r="D15" s="47"/>
      <c r="E15" s="47"/>
      <c r="F15" s="48"/>
      <c r="G15" s="23">
        <f>SUM(G14:G14)</f>
        <v>1755000</v>
      </c>
      <c r="H15" s="24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.75" customHeight="1" x14ac:dyDescent="0.25">
      <c r="A16" s="45"/>
      <c r="B16" s="35"/>
      <c r="C16" s="12"/>
      <c r="D16" s="12"/>
      <c r="E16" s="12"/>
      <c r="F16" s="12"/>
      <c r="G16" s="12"/>
      <c r="H16" s="2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.75" customHeight="1" x14ac:dyDescent="0.25">
      <c r="A17" s="12"/>
      <c r="B17" s="12"/>
      <c r="C17" s="12"/>
      <c r="D17" s="12"/>
      <c r="E17" s="12"/>
      <c r="F17" s="49"/>
      <c r="G17" s="4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.75" customHeight="1" x14ac:dyDescent="0.25">
      <c r="A18" s="12"/>
      <c r="B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.75" customHeight="1" x14ac:dyDescent="0.25">
      <c r="A19" s="26" t="s">
        <v>83</v>
      </c>
      <c r="B19" s="26"/>
      <c r="C19" s="26"/>
      <c r="F19" s="37" t="s">
        <v>84</v>
      </c>
      <c r="G19" s="37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.75" customHeight="1" x14ac:dyDescent="0.25">
      <c r="A20" s="45"/>
      <c r="B20" s="35"/>
      <c r="C20" s="12"/>
      <c r="F20" s="14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.75" customHeight="1" x14ac:dyDescent="0.25">
      <c r="A21" s="35"/>
      <c r="B21" s="35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.75" customHeight="1" x14ac:dyDescent="0.25">
      <c r="A22" s="35"/>
      <c r="B22" s="35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.75" customHeight="1" x14ac:dyDescent="0.25">
      <c r="A23" s="43" t="s">
        <v>85</v>
      </c>
      <c r="B23" s="43"/>
      <c r="C23" s="43"/>
      <c r="F23" s="44" t="s">
        <v>86</v>
      </c>
      <c r="G23" s="44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.75" customHeight="1" x14ac:dyDescent="0.25">
      <c r="A24" s="45" t="s">
        <v>87</v>
      </c>
      <c r="B24" s="45"/>
      <c r="C24" s="45"/>
      <c r="F24" s="38" t="s">
        <v>88</v>
      </c>
      <c r="G24" s="3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.75" customHeight="1" x14ac:dyDescent="0.25">
      <c r="A25" s="12"/>
      <c r="B25" s="12"/>
      <c r="C25" s="12"/>
      <c r="D25" s="12"/>
      <c r="E25" s="15"/>
      <c r="F25" s="15"/>
      <c r="G25" s="15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8.75" customHeight="1" x14ac:dyDescent="0.25">
      <c r="A26" s="12"/>
      <c r="B26" s="12"/>
      <c r="C26" s="12"/>
      <c r="D26" s="12"/>
      <c r="E26" s="15"/>
      <c r="F26" s="15"/>
      <c r="G26" s="15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8.75" customHeight="1" x14ac:dyDescent="0.25">
      <c r="A27" s="12"/>
      <c r="B27" s="12"/>
      <c r="C27" s="12"/>
      <c r="D27" s="12"/>
      <c r="E27" s="15"/>
      <c r="F27" s="15"/>
      <c r="G27" s="15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8.75" customHeight="1" x14ac:dyDescent="0.25">
      <c r="A28" s="12"/>
      <c r="B28" s="12"/>
      <c r="C28" s="12"/>
      <c r="D28" s="12"/>
      <c r="E28" s="15"/>
      <c r="F28" s="15"/>
      <c r="G28" s="15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8.75" customHeight="1" x14ac:dyDescent="0.25">
      <c r="A29" s="12"/>
      <c r="B29" s="12"/>
      <c r="C29" s="12"/>
      <c r="D29" s="12"/>
      <c r="E29" s="15"/>
      <c r="F29" s="15"/>
      <c r="G29" s="15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8.75" customHeight="1" x14ac:dyDescent="0.25">
      <c r="A30" s="12"/>
      <c r="B30" s="12"/>
      <c r="C30" s="12"/>
      <c r="D30" s="12"/>
      <c r="E30" s="15"/>
      <c r="F30" s="15"/>
      <c r="G30" s="1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8.75" customHeight="1" x14ac:dyDescent="0.25">
      <c r="A31" s="12"/>
      <c r="B31" s="12"/>
      <c r="C31" s="12"/>
      <c r="D31" s="12"/>
      <c r="E31" s="15"/>
      <c r="F31" s="15"/>
      <c r="G31" s="1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8.75" customHeight="1" x14ac:dyDescent="0.25">
      <c r="A32" s="12"/>
      <c r="B32" s="12"/>
      <c r="C32" s="12"/>
      <c r="D32" s="12"/>
      <c r="E32" s="15"/>
      <c r="F32" s="15"/>
      <c r="G32" s="15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8.75" customHeight="1" x14ac:dyDescent="0.25">
      <c r="A33" s="12"/>
      <c r="B33" s="12"/>
      <c r="C33" s="12"/>
      <c r="D33" s="12"/>
      <c r="E33" s="15"/>
      <c r="F33" s="15"/>
      <c r="G33" s="15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8.75" customHeight="1" x14ac:dyDescent="0.25">
      <c r="A34" s="12"/>
      <c r="B34" s="12"/>
      <c r="C34" s="12"/>
      <c r="D34" s="12"/>
      <c r="E34" s="15"/>
      <c r="F34" s="15"/>
      <c r="G34" s="15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8.75" customHeight="1" x14ac:dyDescent="0.25">
      <c r="A35" s="12"/>
      <c r="B35" s="12"/>
      <c r="C35" s="12"/>
      <c r="D35" s="12"/>
      <c r="E35" s="15"/>
      <c r="F35" s="15"/>
      <c r="G35" s="15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8.75" customHeight="1" x14ac:dyDescent="0.25">
      <c r="A36" s="12"/>
      <c r="B36" s="12"/>
      <c r="C36" s="12"/>
      <c r="D36" s="12"/>
      <c r="E36" s="15"/>
      <c r="F36" s="15"/>
      <c r="G36" s="15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8.75" customHeight="1" x14ac:dyDescent="0.25">
      <c r="A37" s="12"/>
      <c r="B37" s="12"/>
      <c r="C37" s="12"/>
      <c r="D37" s="12"/>
      <c r="E37" s="15"/>
      <c r="F37" s="15"/>
      <c r="G37" s="15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8.75" customHeight="1" x14ac:dyDescent="0.25">
      <c r="A38" s="12"/>
      <c r="B38" s="12"/>
      <c r="C38" s="12"/>
      <c r="D38" s="12"/>
      <c r="E38" s="15"/>
      <c r="F38" s="15"/>
      <c r="G38" s="1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8.75" customHeight="1" x14ac:dyDescent="0.25">
      <c r="A39" s="12"/>
      <c r="B39" s="12"/>
      <c r="C39" s="12"/>
      <c r="D39" s="12"/>
      <c r="E39" s="15"/>
      <c r="F39" s="15"/>
      <c r="G39" s="15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8.75" customHeight="1" x14ac:dyDescent="0.25">
      <c r="A40" s="12"/>
      <c r="B40" s="12"/>
      <c r="C40" s="12"/>
      <c r="D40" s="12"/>
      <c r="E40" s="15"/>
      <c r="F40" s="15"/>
      <c r="G40" s="1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8.75" customHeight="1" x14ac:dyDescent="0.25">
      <c r="A41" s="12"/>
      <c r="B41" s="12"/>
      <c r="C41" s="12"/>
      <c r="D41" s="12"/>
      <c r="E41" s="15"/>
      <c r="F41" s="15"/>
      <c r="G41" s="1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8.75" customHeight="1" x14ac:dyDescent="0.25">
      <c r="A42" s="12"/>
      <c r="B42" s="12"/>
      <c r="C42" s="12"/>
      <c r="D42" s="12"/>
      <c r="E42" s="15"/>
      <c r="F42" s="15"/>
      <c r="G42" s="1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8.75" customHeight="1" x14ac:dyDescent="0.25">
      <c r="A43" s="12"/>
      <c r="B43" s="12"/>
      <c r="C43" s="12"/>
      <c r="D43" s="12"/>
      <c r="E43" s="15"/>
      <c r="F43" s="15"/>
      <c r="G43" s="1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8.75" customHeight="1" x14ac:dyDescent="0.25">
      <c r="A44" s="12"/>
      <c r="B44" s="12"/>
      <c r="C44" s="12"/>
      <c r="D44" s="12"/>
      <c r="E44" s="15"/>
      <c r="F44" s="15"/>
      <c r="G44" s="1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8.75" customHeight="1" x14ac:dyDescent="0.25">
      <c r="A45" s="12"/>
      <c r="B45" s="12"/>
      <c r="C45" s="12"/>
      <c r="D45" s="12"/>
      <c r="E45" s="15"/>
      <c r="F45" s="15"/>
      <c r="G45" s="1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8.75" customHeight="1" x14ac:dyDescent="0.25">
      <c r="A46" s="12"/>
      <c r="B46" s="12"/>
      <c r="C46" s="12"/>
      <c r="D46" s="12"/>
      <c r="E46" s="15"/>
      <c r="F46" s="15"/>
      <c r="G46" s="1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8.75" customHeight="1" x14ac:dyDescent="0.25">
      <c r="A47" s="12"/>
      <c r="B47" s="12"/>
      <c r="C47" s="12"/>
      <c r="D47" s="12"/>
      <c r="E47" s="15"/>
      <c r="F47" s="15"/>
      <c r="G47" s="1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</sheetData>
  <mergeCells count="17">
    <mergeCell ref="A24:C24"/>
    <mergeCell ref="F24:G24"/>
    <mergeCell ref="A15:F15"/>
    <mergeCell ref="A16:B16"/>
    <mergeCell ref="A14:B14"/>
    <mergeCell ref="F17:G17"/>
    <mergeCell ref="F19:G19"/>
    <mergeCell ref="A20:B22"/>
    <mergeCell ref="A23:C23"/>
    <mergeCell ref="F23:G23"/>
    <mergeCell ref="A13:B13"/>
    <mergeCell ref="D13:E13"/>
    <mergeCell ref="A1:G1"/>
    <mergeCell ref="A2:G2"/>
    <mergeCell ref="A3:G3"/>
    <mergeCell ref="A5:G5"/>
    <mergeCell ref="A6:G6"/>
  </mergeCells>
  <printOptions horizontalCentered="1"/>
  <pageMargins left="0.51181102362204722" right="0.51181102362204722" top="0.74803149606299213" bottom="0.74803149606299213" header="0.31496062992125984" footer="0.31496062992125984"/>
  <pageSetup paperSize="9" fitToWidth="0" pageOrder="overThenDown" orientation="portrait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DFCD756-3116-4A8C-86B4-E0CC36CE2359}">
          <x14:formula1>
            <xm:f>'Data Base Suplayer'!$B$4:$B$15</xm:f>
          </x14:formula1>
          <xm:sqref>C10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E2C6F-0FDC-456C-AF2E-A7E34A26FE08}">
  <sheetPr codeName="Sheet5">
    <outlinePr summaryBelow="0" summaryRight="0"/>
  </sheetPr>
  <dimension ref="A1:W56"/>
  <sheetViews>
    <sheetView topLeftCell="A3" workbookViewId="0">
      <selection activeCell="K11" sqref="K11"/>
    </sheetView>
  </sheetViews>
  <sheetFormatPr defaultColWidth="12.5703125" defaultRowHeight="15.75" customHeight="1" x14ac:dyDescent="0.25"/>
  <cols>
    <col min="1" max="1" width="7.85546875" style="11" customWidth="1"/>
    <col min="2" max="2" width="2.140625" style="11" customWidth="1"/>
    <col min="3" max="3" width="28.42578125" style="11" customWidth="1"/>
    <col min="4" max="5" width="10.140625" style="11" customWidth="1"/>
    <col min="6" max="6" width="15.42578125" style="11" customWidth="1"/>
    <col min="7" max="7" width="18.140625" style="11" customWidth="1"/>
    <col min="8" max="8" width="15.85546875" style="11" customWidth="1"/>
    <col min="9" max="9" width="15.28515625" style="11" customWidth="1"/>
    <col min="10" max="10" width="17.28515625" style="11" customWidth="1"/>
    <col min="11" max="14" width="7.85546875" style="11" customWidth="1"/>
    <col min="15" max="15" width="9.85546875" style="11" customWidth="1"/>
    <col min="16" max="23" width="7.85546875" style="11" customWidth="1"/>
    <col min="24" max="16384" width="12.5703125" style="11"/>
  </cols>
  <sheetData>
    <row r="1" spans="1:23" ht="18.75" customHeight="1" x14ac:dyDescent="0.25">
      <c r="A1" s="34" t="s">
        <v>62</v>
      </c>
      <c r="B1" s="35"/>
      <c r="C1" s="35"/>
      <c r="D1" s="35"/>
      <c r="E1" s="35"/>
      <c r="F1" s="35"/>
      <c r="G1" s="35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</row>
    <row r="2" spans="1:23" ht="18.75" customHeight="1" x14ac:dyDescent="0.25">
      <c r="A2" s="36" t="s">
        <v>63</v>
      </c>
      <c r="B2" s="35"/>
      <c r="C2" s="35"/>
      <c r="D2" s="35"/>
      <c r="E2" s="35"/>
      <c r="F2" s="35"/>
      <c r="G2" s="35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1:23" ht="18.75" customHeight="1" x14ac:dyDescent="0.25">
      <c r="A3" s="36" t="s">
        <v>64</v>
      </c>
      <c r="B3" s="35"/>
      <c r="C3" s="35"/>
      <c r="D3" s="35"/>
      <c r="E3" s="35"/>
      <c r="F3" s="35"/>
      <c r="G3" s="35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</row>
    <row r="4" spans="1:23" ht="18.75" customHeight="1" thickBot="1" x14ac:dyDescent="0.3">
      <c r="A4" s="13"/>
      <c r="B4" s="13"/>
      <c r="C4" s="13"/>
      <c r="D4" s="13"/>
      <c r="E4" s="13"/>
      <c r="F4" s="13"/>
      <c r="G4" s="13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</row>
    <row r="5" spans="1:23" ht="18.75" customHeight="1" x14ac:dyDescent="0.25">
      <c r="A5" s="37" t="s">
        <v>65</v>
      </c>
      <c r="B5" s="35"/>
      <c r="C5" s="35"/>
      <c r="D5" s="35"/>
      <c r="E5" s="35"/>
      <c r="F5" s="35"/>
      <c r="G5" s="35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</row>
    <row r="6" spans="1:23" ht="18.75" customHeight="1" x14ac:dyDescent="0.25">
      <c r="A6" s="38" t="s">
        <v>119</v>
      </c>
      <c r="B6" s="35"/>
      <c r="C6" s="35"/>
      <c r="D6" s="35"/>
      <c r="E6" s="35"/>
      <c r="F6" s="35"/>
      <c r="G6" s="35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</row>
    <row r="7" spans="1:23" ht="18.75" customHeight="1" x14ac:dyDescent="0.25">
      <c r="A7" s="12"/>
      <c r="B7" s="12"/>
      <c r="C7" s="16"/>
      <c r="D7" s="16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</row>
    <row r="8" spans="1:23" ht="18.75" customHeight="1" x14ac:dyDescent="0.25">
      <c r="A8" s="17" t="s">
        <v>66</v>
      </c>
      <c r="B8" s="17" t="s">
        <v>67</v>
      </c>
      <c r="C8" s="17" t="s">
        <v>68</v>
      </c>
      <c r="D8" s="18"/>
      <c r="E8" s="17"/>
      <c r="F8" s="17" t="s">
        <v>69</v>
      </c>
      <c r="G8" s="19">
        <v>46265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</row>
    <row r="9" spans="1:23" ht="18.75" customHeight="1" x14ac:dyDescent="0.25">
      <c r="A9" s="17" t="s">
        <v>70</v>
      </c>
      <c r="B9" s="17" t="s">
        <v>67</v>
      </c>
      <c r="C9" s="17" t="s">
        <v>71</v>
      </c>
      <c r="D9" s="18"/>
      <c r="E9" s="17"/>
      <c r="F9" s="17" t="s">
        <v>72</v>
      </c>
      <c r="G9" s="19">
        <v>46265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</row>
    <row r="10" spans="1:23" ht="18.75" customHeight="1" x14ac:dyDescent="0.25">
      <c r="A10" s="17" t="s">
        <v>73</v>
      </c>
      <c r="B10" s="17" t="s">
        <v>67</v>
      </c>
      <c r="C10" s="17" t="s">
        <v>22</v>
      </c>
      <c r="D10" s="18"/>
      <c r="E10" s="17"/>
      <c r="F10" s="17"/>
      <c r="G10" s="17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</row>
    <row r="11" spans="1:23" ht="45" x14ac:dyDescent="0.25">
      <c r="A11" s="17" t="s">
        <v>6</v>
      </c>
      <c r="B11" s="17" t="s">
        <v>67</v>
      </c>
      <c r="C11" s="20" t="str">
        <f>VLOOKUP(C10,'Data Base Suplayer'!B4:F15,5,0)</f>
        <v>Jl. Ps. Baru Porong, Juwet, Juwetkenongo, Kec. Porong, Sidoarjo, Jawa timur</v>
      </c>
      <c r="D11" s="18"/>
      <c r="E11" s="17"/>
      <c r="F11" s="17"/>
      <c r="G11" s="17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</row>
    <row r="12" spans="1:23" ht="18.75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</row>
    <row r="13" spans="1:23" ht="18.75" customHeight="1" x14ac:dyDescent="0.25">
      <c r="A13" s="39" t="s">
        <v>74</v>
      </c>
      <c r="B13" s="40"/>
      <c r="C13" s="21" t="s">
        <v>75</v>
      </c>
      <c r="D13" s="41" t="s">
        <v>76</v>
      </c>
      <c r="E13" s="42"/>
      <c r="F13" s="21" t="s">
        <v>77</v>
      </c>
      <c r="G13" s="21" t="s">
        <v>78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</row>
    <row r="14" spans="1:23" ht="18.75" customHeight="1" x14ac:dyDescent="0.25">
      <c r="A14" s="32">
        <v>1</v>
      </c>
      <c r="B14" s="33"/>
      <c r="C14" s="27" t="s">
        <v>107</v>
      </c>
      <c r="D14" s="28">
        <v>5</v>
      </c>
      <c r="E14" s="28" t="s">
        <v>79</v>
      </c>
      <c r="F14" s="22">
        <v>33000</v>
      </c>
      <c r="G14" s="22">
        <f>D14*F14</f>
        <v>165000</v>
      </c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</row>
    <row r="15" spans="1:23" ht="18.75" customHeight="1" x14ac:dyDescent="0.25">
      <c r="A15" s="32">
        <v>2</v>
      </c>
      <c r="B15" s="33"/>
      <c r="C15" s="29" t="s">
        <v>108</v>
      </c>
      <c r="D15" s="30">
        <v>2</v>
      </c>
      <c r="E15" s="28" t="s">
        <v>79</v>
      </c>
      <c r="F15" s="31">
        <v>30000</v>
      </c>
      <c r="G15" s="22">
        <f t="shared" ref="G15:G23" si="0">D15*F15</f>
        <v>60000</v>
      </c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</row>
    <row r="16" spans="1:23" ht="18.75" customHeight="1" x14ac:dyDescent="0.25">
      <c r="A16" s="32">
        <v>3</v>
      </c>
      <c r="B16" s="33"/>
      <c r="C16" s="29" t="s">
        <v>109</v>
      </c>
      <c r="D16" s="30">
        <v>3</v>
      </c>
      <c r="E16" s="28" t="s">
        <v>79</v>
      </c>
      <c r="F16" s="31">
        <v>25000</v>
      </c>
      <c r="G16" s="22">
        <f t="shared" si="0"/>
        <v>75000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</row>
    <row r="17" spans="1:23" ht="18.75" customHeight="1" x14ac:dyDescent="0.25">
      <c r="A17" s="32">
        <v>4</v>
      </c>
      <c r="B17" s="33"/>
      <c r="C17" s="29" t="s">
        <v>110</v>
      </c>
      <c r="D17" s="30">
        <v>35</v>
      </c>
      <c r="E17" s="28" t="s">
        <v>79</v>
      </c>
      <c r="F17" s="31">
        <v>15000</v>
      </c>
      <c r="G17" s="22">
        <f t="shared" si="0"/>
        <v>525000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</row>
    <row r="18" spans="1:23" ht="18.75" customHeight="1" x14ac:dyDescent="0.25">
      <c r="A18" s="32">
        <v>5</v>
      </c>
      <c r="B18" s="33"/>
      <c r="C18" s="29" t="s">
        <v>111</v>
      </c>
      <c r="D18" s="30">
        <v>40</v>
      </c>
      <c r="E18" s="28" t="s">
        <v>79</v>
      </c>
      <c r="F18" s="31">
        <v>8000</v>
      </c>
      <c r="G18" s="22">
        <f t="shared" si="0"/>
        <v>320000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</row>
    <row r="19" spans="1:23" ht="18.75" customHeight="1" x14ac:dyDescent="0.25">
      <c r="A19" s="32">
        <v>6</v>
      </c>
      <c r="B19" s="33"/>
      <c r="C19" s="29" t="s">
        <v>112</v>
      </c>
      <c r="D19" s="30">
        <v>35</v>
      </c>
      <c r="E19" s="28" t="s">
        <v>79</v>
      </c>
      <c r="F19" s="31">
        <v>14000</v>
      </c>
      <c r="G19" s="22">
        <f t="shared" si="0"/>
        <v>490000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</row>
    <row r="20" spans="1:23" ht="18.75" customHeight="1" x14ac:dyDescent="0.25">
      <c r="A20" s="32">
        <v>7</v>
      </c>
      <c r="B20" s="33"/>
      <c r="C20" s="29" t="s">
        <v>113</v>
      </c>
      <c r="D20" s="30">
        <v>10</v>
      </c>
      <c r="E20" s="28" t="s">
        <v>79</v>
      </c>
      <c r="F20" s="31">
        <v>57000</v>
      </c>
      <c r="G20" s="22">
        <f t="shared" si="0"/>
        <v>570000</v>
      </c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</row>
    <row r="21" spans="1:23" ht="18.75" customHeight="1" x14ac:dyDescent="0.25">
      <c r="A21" s="32">
        <v>8</v>
      </c>
      <c r="B21" s="33"/>
      <c r="C21" s="29" t="s">
        <v>114</v>
      </c>
      <c r="D21" s="30">
        <v>2</v>
      </c>
      <c r="E21" s="28" t="s">
        <v>79</v>
      </c>
      <c r="F21" s="31">
        <v>15000</v>
      </c>
      <c r="G21" s="22">
        <f t="shared" si="0"/>
        <v>30000</v>
      </c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ht="18.75" customHeight="1" x14ac:dyDescent="0.25">
      <c r="A22" s="32">
        <v>9</v>
      </c>
      <c r="B22" s="33"/>
      <c r="C22" s="29" t="s">
        <v>115</v>
      </c>
      <c r="D22" s="30">
        <v>2</v>
      </c>
      <c r="E22" s="28" t="s">
        <v>79</v>
      </c>
      <c r="F22" s="31">
        <v>15000</v>
      </c>
      <c r="G22" s="22">
        <f t="shared" si="0"/>
        <v>30000</v>
      </c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</row>
    <row r="23" spans="1:23" ht="18.75" customHeight="1" x14ac:dyDescent="0.25">
      <c r="A23" s="32">
        <v>10</v>
      </c>
      <c r="B23" s="33"/>
      <c r="C23" s="27" t="s">
        <v>116</v>
      </c>
      <c r="D23" s="28">
        <v>15</v>
      </c>
      <c r="E23" s="28" t="s">
        <v>79</v>
      </c>
      <c r="F23" s="22">
        <v>15000</v>
      </c>
      <c r="G23" s="22">
        <f t="shared" si="0"/>
        <v>225000</v>
      </c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</row>
    <row r="24" spans="1:23" ht="18.75" customHeight="1" x14ac:dyDescent="0.25">
      <c r="A24" s="46" t="s">
        <v>82</v>
      </c>
      <c r="B24" s="47"/>
      <c r="C24" s="47"/>
      <c r="D24" s="47"/>
      <c r="E24" s="47"/>
      <c r="F24" s="48"/>
      <c r="G24" s="23">
        <f>SUM(G14:G23)</f>
        <v>2490000</v>
      </c>
      <c r="H24" s="24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</row>
    <row r="25" spans="1:23" ht="18.75" customHeight="1" x14ac:dyDescent="0.25">
      <c r="A25" s="45"/>
      <c r="B25" s="35"/>
      <c r="C25" s="12"/>
      <c r="D25" s="12"/>
      <c r="E25" s="12"/>
      <c r="F25" s="12"/>
      <c r="G25" s="12"/>
      <c r="H25" s="2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</row>
    <row r="26" spans="1:23" ht="18.75" customHeight="1" x14ac:dyDescent="0.25">
      <c r="A26" s="12"/>
      <c r="B26" s="12"/>
      <c r="C26" s="12"/>
      <c r="D26" s="12"/>
      <c r="E26" s="12"/>
      <c r="F26" s="49"/>
      <c r="G26" s="49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</row>
    <row r="27" spans="1:23" ht="18.75" customHeight="1" x14ac:dyDescent="0.25">
      <c r="A27" s="12"/>
      <c r="B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</row>
    <row r="28" spans="1:23" ht="18.75" customHeight="1" x14ac:dyDescent="0.25">
      <c r="A28" s="26" t="s">
        <v>83</v>
      </c>
      <c r="B28" s="26"/>
      <c r="C28" s="26"/>
      <c r="F28" s="37" t="s">
        <v>84</v>
      </c>
      <c r="G28" s="37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</row>
    <row r="29" spans="1:23" ht="18.75" customHeight="1" x14ac:dyDescent="0.25">
      <c r="A29" s="45"/>
      <c r="B29" s="35"/>
      <c r="C29" s="12"/>
      <c r="F29" s="14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</row>
    <row r="30" spans="1:23" ht="18.75" customHeight="1" x14ac:dyDescent="0.25">
      <c r="A30" s="35"/>
      <c r="B30" s="35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</row>
    <row r="31" spans="1:23" ht="18.75" customHeight="1" x14ac:dyDescent="0.25">
      <c r="A31" s="35"/>
      <c r="B31" s="35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</row>
    <row r="32" spans="1:23" ht="18.75" customHeight="1" x14ac:dyDescent="0.25">
      <c r="A32" s="43" t="s">
        <v>85</v>
      </c>
      <c r="B32" s="43"/>
      <c r="C32" s="43"/>
      <c r="F32" s="44" t="s">
        <v>86</v>
      </c>
      <c r="G32" s="44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3" spans="1:23" ht="18.75" customHeight="1" x14ac:dyDescent="0.25">
      <c r="A33" s="45" t="s">
        <v>87</v>
      </c>
      <c r="B33" s="45"/>
      <c r="C33" s="45"/>
      <c r="F33" s="38" t="s">
        <v>88</v>
      </c>
      <c r="G33" s="38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</row>
    <row r="34" spans="1:23" ht="18.75" customHeight="1" x14ac:dyDescent="0.25">
      <c r="A34" s="12"/>
      <c r="B34" s="12"/>
      <c r="C34" s="12"/>
      <c r="D34" s="12"/>
      <c r="E34" s="15"/>
      <c r="F34" s="15"/>
      <c r="G34" s="15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</row>
    <row r="35" spans="1:23" ht="18.75" customHeight="1" x14ac:dyDescent="0.25">
      <c r="A35" s="12"/>
      <c r="B35" s="12"/>
      <c r="C35" s="12"/>
      <c r="D35" s="12"/>
      <c r="E35" s="15"/>
      <c r="F35" s="15"/>
      <c r="G35" s="15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</row>
    <row r="36" spans="1:23" ht="18.75" customHeight="1" x14ac:dyDescent="0.25">
      <c r="A36" s="12"/>
      <c r="B36" s="12"/>
      <c r="C36" s="12"/>
      <c r="D36" s="12"/>
      <c r="E36" s="15"/>
      <c r="F36" s="15"/>
      <c r="G36" s="15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</row>
    <row r="37" spans="1:23" ht="18.75" customHeight="1" x14ac:dyDescent="0.25">
      <c r="A37" s="12"/>
      <c r="B37" s="12"/>
      <c r="C37" s="12"/>
      <c r="D37" s="12"/>
      <c r="E37" s="15"/>
      <c r="F37" s="15"/>
      <c r="G37" s="15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</row>
    <row r="38" spans="1:23" ht="18.75" customHeight="1" x14ac:dyDescent="0.25">
      <c r="A38" s="12"/>
      <c r="B38" s="12"/>
      <c r="C38" s="12"/>
      <c r="D38" s="12"/>
      <c r="E38" s="15"/>
      <c r="F38" s="15"/>
      <c r="G38" s="15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</row>
    <row r="39" spans="1:23" ht="18.75" customHeight="1" x14ac:dyDescent="0.25">
      <c r="A39" s="12"/>
      <c r="B39" s="12"/>
      <c r="C39" s="12"/>
      <c r="D39" s="12"/>
      <c r="E39" s="15"/>
      <c r="F39" s="15"/>
      <c r="G39" s="15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</row>
    <row r="40" spans="1:23" ht="18.75" customHeight="1" x14ac:dyDescent="0.25">
      <c r="A40" s="12"/>
      <c r="B40" s="12"/>
      <c r="C40" s="12"/>
      <c r="D40" s="12"/>
      <c r="E40" s="15"/>
      <c r="F40" s="15"/>
      <c r="G40" s="15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</row>
    <row r="41" spans="1:23" ht="18.75" customHeight="1" x14ac:dyDescent="0.25">
      <c r="A41" s="12"/>
      <c r="B41" s="12"/>
      <c r="C41" s="12"/>
      <c r="D41" s="12"/>
      <c r="E41" s="15"/>
      <c r="F41" s="15"/>
      <c r="G41" s="15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</row>
    <row r="42" spans="1:23" ht="18.75" customHeight="1" x14ac:dyDescent="0.25">
      <c r="A42" s="12"/>
      <c r="B42" s="12"/>
      <c r="C42" s="12"/>
      <c r="D42" s="12"/>
      <c r="E42" s="15"/>
      <c r="F42" s="15"/>
      <c r="G42" s="15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</row>
    <row r="43" spans="1:23" ht="18.75" customHeight="1" x14ac:dyDescent="0.25">
      <c r="A43" s="12"/>
      <c r="B43" s="12"/>
      <c r="C43" s="12"/>
      <c r="D43" s="12"/>
      <c r="E43" s="15"/>
      <c r="F43" s="15"/>
      <c r="G43" s="15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</row>
    <row r="44" spans="1:23" ht="18.75" customHeight="1" x14ac:dyDescent="0.25">
      <c r="A44" s="12"/>
      <c r="B44" s="12"/>
      <c r="C44" s="12"/>
      <c r="D44" s="12"/>
      <c r="E44" s="15"/>
      <c r="F44" s="15"/>
      <c r="G44" s="15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</row>
    <row r="45" spans="1:23" ht="18.75" customHeight="1" x14ac:dyDescent="0.25">
      <c r="A45" s="12"/>
      <c r="B45" s="12"/>
      <c r="C45" s="12"/>
      <c r="D45" s="12"/>
      <c r="E45" s="15"/>
      <c r="F45" s="15"/>
      <c r="G45" s="15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</row>
    <row r="46" spans="1:23" ht="18.75" customHeight="1" x14ac:dyDescent="0.25">
      <c r="A46" s="12"/>
      <c r="B46" s="12"/>
      <c r="C46" s="12"/>
      <c r="D46" s="12"/>
      <c r="E46" s="15"/>
      <c r="F46" s="15"/>
      <c r="G46" s="15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</row>
    <row r="47" spans="1:23" ht="18.75" customHeight="1" x14ac:dyDescent="0.25">
      <c r="A47" s="12"/>
      <c r="B47" s="12"/>
      <c r="C47" s="12"/>
      <c r="D47" s="12"/>
      <c r="E47" s="15"/>
      <c r="F47" s="15"/>
      <c r="G47" s="15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</row>
    <row r="48" spans="1:23" ht="18.75" customHeight="1" x14ac:dyDescent="0.25">
      <c r="A48" s="12"/>
      <c r="B48" s="12"/>
      <c r="C48" s="12"/>
      <c r="D48" s="12"/>
      <c r="E48" s="15"/>
      <c r="F48" s="15"/>
      <c r="G48" s="15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</row>
    <row r="49" spans="1:23" ht="18.75" customHeight="1" x14ac:dyDescent="0.25">
      <c r="A49" s="12"/>
      <c r="B49" s="12"/>
      <c r="C49" s="12"/>
      <c r="D49" s="12"/>
      <c r="E49" s="15"/>
      <c r="F49" s="15"/>
      <c r="G49" s="15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</row>
    <row r="50" spans="1:23" ht="18.75" customHeight="1" x14ac:dyDescent="0.25">
      <c r="A50" s="12"/>
      <c r="B50" s="12"/>
      <c r="C50" s="12"/>
      <c r="D50" s="12"/>
      <c r="E50" s="15"/>
      <c r="F50" s="15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</row>
    <row r="51" spans="1:23" ht="18.75" customHeight="1" x14ac:dyDescent="0.25">
      <c r="A51" s="12"/>
      <c r="B51" s="12"/>
      <c r="C51" s="12"/>
      <c r="D51" s="12"/>
      <c r="E51" s="15"/>
      <c r="F51" s="15"/>
      <c r="G51" s="15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</row>
    <row r="52" spans="1:23" ht="18.75" customHeight="1" x14ac:dyDescent="0.25">
      <c r="A52" s="12"/>
      <c r="B52" s="12"/>
      <c r="C52" s="12"/>
      <c r="D52" s="12"/>
      <c r="E52" s="15"/>
      <c r="F52" s="15"/>
      <c r="G52" s="15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3" spans="1:23" ht="18.75" customHeight="1" x14ac:dyDescent="0.25">
      <c r="A53" s="12"/>
      <c r="B53" s="12"/>
      <c r="C53" s="12"/>
      <c r="D53" s="12"/>
      <c r="E53" s="15"/>
      <c r="F53" s="15"/>
      <c r="G53" s="15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</row>
    <row r="54" spans="1:23" ht="18.75" customHeight="1" x14ac:dyDescent="0.25">
      <c r="A54" s="12"/>
      <c r="B54" s="12"/>
      <c r="C54" s="12"/>
      <c r="D54" s="12"/>
      <c r="E54" s="15"/>
      <c r="F54" s="15"/>
      <c r="G54" s="15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</row>
    <row r="55" spans="1:23" ht="18.75" customHeight="1" x14ac:dyDescent="0.25">
      <c r="A55" s="12"/>
      <c r="B55" s="12"/>
      <c r="C55" s="12"/>
      <c r="D55" s="12"/>
      <c r="E55" s="15"/>
      <c r="F55" s="15"/>
      <c r="G55" s="15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</row>
    <row r="56" spans="1:23" ht="18.75" customHeight="1" x14ac:dyDescent="0.25">
      <c r="A56" s="12"/>
      <c r="B56" s="12"/>
      <c r="C56" s="12"/>
      <c r="D56" s="12"/>
      <c r="E56" s="15"/>
      <c r="F56" s="15"/>
      <c r="G56" s="15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</row>
  </sheetData>
  <mergeCells count="26">
    <mergeCell ref="A33:C33"/>
    <mergeCell ref="F33:G33"/>
    <mergeCell ref="A20:B20"/>
    <mergeCell ref="A21:B21"/>
    <mergeCell ref="A22:B22"/>
    <mergeCell ref="A23:B23"/>
    <mergeCell ref="A24:F24"/>
    <mergeCell ref="A25:B25"/>
    <mergeCell ref="F26:G26"/>
    <mergeCell ref="F28:G28"/>
    <mergeCell ref="A29:B31"/>
    <mergeCell ref="A32:C32"/>
    <mergeCell ref="F32:G32"/>
    <mergeCell ref="A19:B19"/>
    <mergeCell ref="A1:G1"/>
    <mergeCell ref="A2:G2"/>
    <mergeCell ref="A3:G3"/>
    <mergeCell ref="A5:G5"/>
    <mergeCell ref="A6:G6"/>
    <mergeCell ref="A13:B13"/>
    <mergeCell ref="D13:E13"/>
    <mergeCell ref="A14:B14"/>
    <mergeCell ref="A15:B15"/>
    <mergeCell ref="A16:B16"/>
    <mergeCell ref="A17:B17"/>
    <mergeCell ref="A18:B18"/>
  </mergeCells>
  <printOptions horizontalCentered="1"/>
  <pageMargins left="0.51181102362204722" right="0.51181102362204722" top="0.74803149606299213" bottom="0.74803149606299213" header="0.31496062992125984" footer="0.31496062992125984"/>
  <pageSetup paperSize="9" fitToWidth="0" pageOrder="overThenDown" orientation="portrait" horizont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CC78040-1D32-41A1-A66C-DEB5691EFC98}">
          <x14:formula1>
            <xm:f>'Data Base Suplayer'!$B$4:$B$15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Data Base Suplayer</vt:lpstr>
      <vt:lpstr>1 SEP</vt:lpstr>
      <vt:lpstr>1 SEP (2)</vt:lpstr>
      <vt:lpstr>1 SEP (3)</vt:lpstr>
      <vt:lpstr>1 SEP (4)</vt:lpstr>
      <vt:lpstr>'1 SEP'!Print_Area</vt:lpstr>
      <vt:lpstr>'1 SEP (2)'!Print_Area</vt:lpstr>
      <vt:lpstr>'1 SEP (3)'!Print_Area</vt:lpstr>
      <vt:lpstr>'1 SEP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LENOVOV14_PF63HPHQ@hotmail.com</dc:creator>
  <cp:lastModifiedBy>wengbazha .</cp:lastModifiedBy>
  <dcterms:created xsi:type="dcterms:W3CDTF">2026-09-16T12:02:14Z</dcterms:created>
  <dcterms:modified xsi:type="dcterms:W3CDTF">2026-10-14T07:50:07Z</dcterms:modified>
</cp:coreProperties>
</file>
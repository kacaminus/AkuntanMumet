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lan\Documents\nitip kerjoan\"/>
    </mc:Choice>
  </mc:AlternateContent>
  <xr:revisionPtr revIDLastSave="0" documentId="8_{D221969F-69F4-44A0-B926-4AD1C768DEC7}" xr6:coauthVersionLast="47" xr6:coauthVersionMax="47" xr10:uidLastSave="{00000000-0000-0000-0000-000000000000}"/>
  <bookViews>
    <workbookView xWindow="-120" yWindow="-120" windowWidth="20730" windowHeight="11040" xr2:uid="{7BD99446-F654-49CE-BDDC-1570EFF87968}"/>
  </bookViews>
  <sheets>
    <sheet name="1 SEP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F21" i="2"/>
  <c r="K34" i="2"/>
  <c r="M33" i="2"/>
  <c r="M32" i="2"/>
  <c r="M31" i="2"/>
  <c r="M30" i="2"/>
  <c r="M29" i="2"/>
  <c r="M28" i="2"/>
  <c r="M27" i="2"/>
  <c r="M26" i="2"/>
  <c r="F28" i="2"/>
  <c r="M25" i="2"/>
  <c r="F27" i="2"/>
  <c r="M24" i="2"/>
  <c r="F26" i="2"/>
  <c r="M23" i="2"/>
  <c r="F25" i="2"/>
  <c r="M22" i="2"/>
  <c r="F24" i="2"/>
  <c r="M21" i="2"/>
  <c r="F23" i="2"/>
  <c r="M20" i="2"/>
  <c r="F20" i="2"/>
  <c r="M19" i="2"/>
  <c r="F19" i="2"/>
  <c r="M18" i="2"/>
  <c r="F18" i="2"/>
  <c r="M17" i="2"/>
  <c r="F17" i="2"/>
  <c r="M16" i="2"/>
  <c r="F16" i="2"/>
  <c r="M15" i="2"/>
  <c r="F15" i="2"/>
  <c r="M14" i="2"/>
  <c r="F14" i="2"/>
  <c r="M13" i="2"/>
  <c r="F13" i="2"/>
  <c r="M12" i="2"/>
  <c r="F12" i="2"/>
  <c r="M11" i="2"/>
  <c r="F11" i="2"/>
  <c r="M10" i="2"/>
  <c r="F10" i="2"/>
  <c r="M9" i="2"/>
  <c r="F9" i="2"/>
  <c r="M8" i="2"/>
  <c r="F8" i="2"/>
  <c r="M7" i="2"/>
  <c r="F7" i="2"/>
  <c r="M6" i="2"/>
  <c r="M5" i="2"/>
  <c r="M4" i="2"/>
  <c r="M3" i="2"/>
  <c r="M34" i="2" l="1"/>
  <c r="F30" i="2" s="1"/>
  <c r="F29" i="2"/>
  <c r="F31" i="2" l="1"/>
</calcChain>
</file>

<file path=xl/sharedStrings.xml><?xml version="1.0" encoding="utf-8"?>
<sst xmlns="http://schemas.openxmlformats.org/spreadsheetml/2006/main" count="112" uniqueCount="70">
  <si>
    <t>RENCANA ANGGARAN BELANJA (RAB) BAHAN BAKU HARIAN</t>
  </si>
  <si>
    <t>Jumat, 28 Agustus 2026</t>
  </si>
  <si>
    <t>SPPG SIDOARJO TULANGAN TULANGAN</t>
  </si>
  <si>
    <t>NO</t>
  </si>
  <si>
    <t>TANGGAL / SEKOLAH</t>
  </si>
  <si>
    <t>KLASTER</t>
  </si>
  <si>
    <t>JUMLAH SISWA</t>
  </si>
  <si>
    <t>PAGU HARGA</t>
  </si>
  <si>
    <t>JUMLAH</t>
  </si>
  <si>
    <t>YAYASAN PAUD PSM SURODADI</t>
  </si>
  <si>
    <t>TK DWP Kenongo</t>
  </si>
  <si>
    <t>Siswa</t>
  </si>
  <si>
    <t>Guru</t>
  </si>
  <si>
    <t>SDN Kenongo 1</t>
  </si>
  <si>
    <t>Kelas 1 - 3</t>
  </si>
  <si>
    <t>URAIAN</t>
  </si>
  <si>
    <t>QTY</t>
  </si>
  <si>
    <t>SATUAN</t>
  </si>
  <si>
    <t>HARGA</t>
  </si>
  <si>
    <t>KETERANGAN</t>
  </si>
  <si>
    <t>Kelas 4 - 6</t>
  </si>
  <si>
    <t>Beras premium</t>
  </si>
  <si>
    <t>kg</t>
  </si>
  <si>
    <t>SDN Kenongo 2</t>
  </si>
  <si>
    <t>Bawang merah kupas</t>
  </si>
  <si>
    <t>Bawang putih kupas</t>
  </si>
  <si>
    <t>SMP Muhammadiyah 5</t>
  </si>
  <si>
    <t>SLB AL Asyiyah</t>
  </si>
  <si>
    <t>TK DWP Kecamatan Tulangan</t>
  </si>
  <si>
    <t>TK An Nahdliyah</t>
  </si>
  <si>
    <t>KB An Nahdliyah</t>
  </si>
  <si>
    <t>SDN Tulangan 1</t>
  </si>
  <si>
    <t>Wortel</t>
  </si>
  <si>
    <t>SD Muhammadiyah 8</t>
  </si>
  <si>
    <t>SMA Muhammadiyah 3</t>
  </si>
  <si>
    <t>Gula pasir (1kg)</t>
  </si>
  <si>
    <t>SMK Muhammadiyah 1</t>
  </si>
  <si>
    <t>Kaldu knorr ayam</t>
  </si>
  <si>
    <t>Pos Paud kenongo</t>
  </si>
  <si>
    <t>Minyak goreng filma 2L</t>
  </si>
  <si>
    <t>pouch</t>
  </si>
  <si>
    <t>Posyandu flamboyan 1</t>
  </si>
  <si>
    <t>Balita</t>
  </si>
  <si>
    <t>TOTAL</t>
  </si>
  <si>
    <t>Bumil, busui</t>
  </si>
  <si>
    <t>PAGU HARGA BELANJA GARI HARIAN</t>
  </si>
  <si>
    <t>Posyandu flamboyan 2</t>
  </si>
  <si>
    <t>SISA</t>
  </si>
  <si>
    <t>Posyandu flamboyan 3</t>
  </si>
  <si>
    <t>Posyandu flamboyan 4</t>
  </si>
  <si>
    <t>Hari : Selasa, 1 September 2026</t>
  </si>
  <si>
    <t>MENU: Nasi putih, kaki naga, tahu kuning, sayur sop, lettuce, kelengkeng</t>
  </si>
  <si>
    <t>Tepung panir</t>
  </si>
  <si>
    <t>Kelengkeng</t>
  </si>
  <si>
    <t>Tepung tapioka</t>
  </si>
  <si>
    <t>Tepung maizena</t>
  </si>
  <si>
    <t>Garam</t>
  </si>
  <si>
    <t>Saori saos tiram 1L</t>
  </si>
  <si>
    <t>bal</t>
  </si>
  <si>
    <t>botol</t>
  </si>
  <si>
    <t>kotak</t>
  </si>
  <si>
    <t>Ayam fillet dada giling</t>
  </si>
  <si>
    <t>Tahu kuning</t>
  </si>
  <si>
    <t>Bombay</t>
  </si>
  <si>
    <t>Gubis</t>
  </si>
  <si>
    <t>Kentang</t>
  </si>
  <si>
    <t>bawang goreng</t>
  </si>
  <si>
    <t>Seledri</t>
  </si>
  <si>
    <t>Daun pre</t>
  </si>
  <si>
    <t>Lettuce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</si>
</sst>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* #,###"/>
    <numFmt numFmtId="165" formatCode="_-[$Rp-3809]* #,##0.00_-;\-[$Rp-3809]* #,##0.00_-;_-[$Rp-3809]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6E3FF"/>
        <bgColor rgb="FF76E3FF"/>
      </patternFill>
    </fill>
    <fill>
      <patternFill patternType="solid">
        <fgColor rgb="FFA3DBFF"/>
        <bgColor rgb="FFA3DBFF"/>
      </patternFill>
    </fill>
    <fill>
      <patternFill patternType="solid">
        <fgColor rgb="FFFFC000"/>
        <bgColor rgb="FFFF00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57">
    <xf numFmtId="0" fontId="0" fillId="0" borderId="0" xfId="0"/>
    <xf numFmtId="0" fontId="5" fillId="0" borderId="0" xfId="1" applyFont="1"/>
    <xf numFmtId="0" fontId="5" fillId="3" borderId="4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4" xfId="1" applyFont="1" applyBorder="1"/>
    <xf numFmtId="0" fontId="5" fillId="0" borderId="4" xfId="1" applyFont="1" applyBorder="1" applyAlignment="1">
      <alignment horizontal="center" vertical="center"/>
    </xf>
    <xf numFmtId="164" fontId="5" fillId="0" borderId="4" xfId="1" applyNumberFormat="1" applyFont="1" applyBorder="1"/>
    <xf numFmtId="0" fontId="4" fillId="3" borderId="4" xfId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center" wrapText="1"/>
    </xf>
    <xf numFmtId="165" fontId="8" fillId="0" borderId="5" xfId="0" applyNumberFormat="1" applyFont="1" applyBorder="1" applyAlignment="1">
      <alignment horizontal="center" wrapText="1"/>
    </xf>
    <xf numFmtId="165" fontId="5" fillId="0" borderId="5" xfId="0" applyNumberFormat="1" applyFont="1" applyBorder="1" applyAlignment="1">
      <alignment horizontal="center" wrapText="1"/>
    </xf>
    <xf numFmtId="0" fontId="4" fillId="0" borderId="4" xfId="1" applyFont="1" applyBorder="1" applyAlignment="1">
      <alignment horizontal="center" vertical="center"/>
    </xf>
    <xf numFmtId="0" fontId="8" fillId="0" borderId="6" xfId="0" applyFont="1" applyBorder="1" applyAlignment="1">
      <alignment horizontal="left" wrapText="1"/>
    </xf>
    <xf numFmtId="0" fontId="8" fillId="0" borderId="6" xfId="0" applyFont="1" applyBorder="1" applyAlignment="1">
      <alignment horizontal="center" wrapText="1"/>
    </xf>
    <xf numFmtId="165" fontId="8" fillId="0" borderId="6" xfId="0" applyNumberFormat="1" applyFont="1" applyBorder="1" applyAlignment="1">
      <alignment horizontal="center" wrapText="1"/>
    </xf>
    <xf numFmtId="165" fontId="5" fillId="0" borderId="6" xfId="0" applyNumberFormat="1" applyFont="1" applyBorder="1" applyAlignment="1">
      <alignment horizontal="center" wrapText="1"/>
    </xf>
    <xf numFmtId="0" fontId="5" fillId="0" borderId="7" xfId="1" applyFont="1" applyBorder="1" applyAlignment="1">
      <alignment horizontal="center"/>
    </xf>
    <xf numFmtId="0" fontId="5" fillId="0" borderId="7" xfId="1" applyFont="1" applyBorder="1"/>
    <xf numFmtId="164" fontId="5" fillId="0" borderId="7" xfId="1" applyNumberFormat="1" applyFont="1" applyBorder="1"/>
    <xf numFmtId="0" fontId="5" fillId="0" borderId="5" xfId="1" applyFont="1" applyBorder="1" applyAlignment="1">
      <alignment horizontal="center"/>
    </xf>
    <xf numFmtId="0" fontId="5" fillId="0" borderId="5" xfId="1" applyFont="1" applyBorder="1"/>
    <xf numFmtId="164" fontId="5" fillId="0" borderId="5" xfId="1" applyNumberFormat="1" applyFont="1" applyBorder="1"/>
    <xf numFmtId="0" fontId="5" fillId="0" borderId="8" xfId="1" applyFont="1" applyBorder="1"/>
    <xf numFmtId="164" fontId="4" fillId="3" borderId="5" xfId="1" applyNumberFormat="1" applyFont="1" applyFill="1" applyBorder="1" applyAlignment="1">
      <alignment horizontal="center"/>
    </xf>
    <xf numFmtId="0" fontId="4" fillId="3" borderId="8" xfId="1" applyFont="1" applyFill="1" applyBorder="1"/>
    <xf numFmtId="164" fontId="4" fillId="4" borderId="12" xfId="1" applyNumberFormat="1" applyFont="1" applyFill="1" applyBorder="1"/>
    <xf numFmtId="0" fontId="4" fillId="3" borderId="4" xfId="1" applyFont="1" applyFill="1" applyBorder="1"/>
    <xf numFmtId="164" fontId="5" fillId="0" borderId="13" xfId="1" applyNumberFormat="1" applyFont="1" applyBorder="1"/>
    <xf numFmtId="164" fontId="4" fillId="3" borderId="4" xfId="1" applyNumberFormat="1" applyFont="1" applyFill="1" applyBorder="1"/>
    <xf numFmtId="0" fontId="5" fillId="0" borderId="0" xfId="1" applyFont="1" applyAlignment="1">
      <alignment horizontal="center"/>
    </xf>
    <xf numFmtId="164" fontId="5" fillId="0" borderId="16" xfId="1" applyNumberFormat="1" applyFont="1" applyBorder="1"/>
    <xf numFmtId="0" fontId="3" fillId="0" borderId="10" xfId="1" applyFont="1" applyBorder="1" applyAlignment="1">
      <alignment horizontal="center"/>
    </xf>
    <xf numFmtId="0" fontId="3" fillId="0" borderId="17" xfId="1" applyFont="1" applyBorder="1"/>
    <xf numFmtId="164" fontId="4" fillId="4" borderId="11" xfId="1" applyNumberFormat="1" applyFont="1" applyFill="1" applyBorder="1"/>
    <xf numFmtId="0" fontId="5" fillId="5" borderId="4" xfId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wrapText="1"/>
    </xf>
    <xf numFmtId="0" fontId="8" fillId="5" borderId="5" xfId="0" applyFont="1" applyFill="1" applyBorder="1" applyAlignment="1">
      <alignment horizontal="center" wrapText="1"/>
    </xf>
    <xf numFmtId="165" fontId="8" fillId="5" borderId="5" xfId="0" applyNumberFormat="1" applyFont="1" applyFill="1" applyBorder="1" applyAlignment="1">
      <alignment horizontal="center" wrapText="1"/>
    </xf>
    <xf numFmtId="165" fontId="5" fillId="5" borderId="5" xfId="0" applyNumberFormat="1" applyFont="1" applyFill="1" applyBorder="1" applyAlignment="1">
      <alignment horizontal="center" wrapText="1"/>
    </xf>
    <xf numFmtId="0" fontId="4" fillId="3" borderId="5" xfId="1" applyFont="1" applyFill="1" applyBorder="1" applyAlignment="1">
      <alignment horizontal="center"/>
    </xf>
    <xf numFmtId="0" fontId="3" fillId="0" borderId="5" xfId="1" applyFont="1" applyBorder="1"/>
    <xf numFmtId="0" fontId="4" fillId="3" borderId="9" xfId="1" applyFont="1" applyFill="1" applyBorder="1" applyAlignment="1">
      <alignment horizontal="center" vertical="center"/>
    </xf>
    <xf numFmtId="0" fontId="3" fillId="0" borderId="10" xfId="1" applyFont="1" applyBorder="1"/>
    <xf numFmtId="0" fontId="3" fillId="0" borderId="11" xfId="1" applyFont="1" applyBorder="1"/>
    <xf numFmtId="0" fontId="4" fillId="3" borderId="14" xfId="1" applyFont="1" applyFill="1" applyBorder="1" applyAlignment="1">
      <alignment horizontal="center"/>
    </xf>
    <xf numFmtId="0" fontId="3" fillId="0" borderId="15" xfId="1" applyFont="1" applyBorder="1"/>
    <xf numFmtId="0" fontId="3" fillId="0" borderId="8" xfId="1" applyFont="1" applyBorder="1"/>
    <xf numFmtId="0" fontId="7" fillId="0" borderId="0" xfId="1" applyFont="1" applyAlignment="1">
      <alignment horizontal="center" vertical="center"/>
    </xf>
    <xf numFmtId="0" fontId="5" fillId="0" borderId="0" xfId="1" applyFont="1"/>
    <xf numFmtId="0" fontId="2" fillId="2" borderId="0" xfId="1" applyFont="1" applyFill="1" applyAlignment="1">
      <alignment horizontal="center"/>
    </xf>
    <xf numFmtId="0" fontId="3" fillId="0" borderId="0" xfId="1" applyFont="1"/>
    <xf numFmtId="0" fontId="4" fillId="3" borderId="1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</cellXfs>
  <cellStyles count="3">
    <cellStyle name="Normal" xfId="0" builtinId="0"/>
    <cellStyle name="Normal 2" xfId="1" xr:uid="{09B0B1EF-5662-4B42-A353-18831355E030}"/>
    <cellStyle name="Normal 2 2" xfId="2" xr:uid="{8406388B-379F-42EC-8A71-7DEBC382A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3F12-48DE-498B-B0FC-B7ECB0863DC0}">
  <sheetPr codeName="Sheet1"/>
  <dimension ref="A1:Y946"/>
  <sheetViews>
    <sheetView tabSelected="1" topLeftCell="A11" zoomScale="81" workbookViewId="0">
      <selection activeCell="B7" sqref="B7:F28"/>
    </sheetView>
  </sheetViews>
  <sheetFormatPr defaultColWidth="14.42578125" defaultRowHeight="15" x14ac:dyDescent="0.25"/>
  <cols>
    <col min="1" max="1" width="5.7109375" style="31" customWidth="1"/>
    <col min="2" max="2" width="23.85546875" style="1" customWidth="1"/>
    <col min="3" max="4" width="12.42578125" style="1" customWidth="1"/>
    <col min="5" max="6" width="16.140625" style="1" customWidth="1"/>
    <col min="7" max="7" width="30.28515625" style="1" customWidth="1"/>
    <col min="8" max="8" width="8.7109375" style="1" customWidth="1"/>
    <col min="9" max="9" width="41" style="1" customWidth="1"/>
    <col min="10" max="10" width="17.85546875" style="1" customWidth="1"/>
    <col min="11" max="11" width="16.5703125" style="1" customWidth="1"/>
    <col min="12" max="13" width="17.7109375" style="1" customWidth="1"/>
    <col min="14" max="25" width="8.7109375" style="1" customWidth="1"/>
    <col min="26" max="16384" width="14.42578125" style="1"/>
  </cols>
  <sheetData>
    <row r="1" spans="1:13" ht="18.75" x14ac:dyDescent="0.3">
      <c r="A1" s="51" t="s">
        <v>0</v>
      </c>
      <c r="B1" s="52"/>
      <c r="C1" s="52"/>
      <c r="D1" s="52"/>
      <c r="E1" s="52"/>
      <c r="F1" s="52"/>
      <c r="G1" s="52"/>
      <c r="H1" s="53" t="s">
        <v>1</v>
      </c>
      <c r="I1" s="54"/>
      <c r="J1" s="54"/>
      <c r="K1" s="54"/>
      <c r="L1" s="54"/>
      <c r="M1" s="55"/>
    </row>
    <row r="2" spans="1:13" ht="15.75" x14ac:dyDescent="0.25">
      <c r="A2" s="56" t="s">
        <v>2</v>
      </c>
      <c r="B2" s="52"/>
      <c r="C2" s="52"/>
      <c r="D2" s="52"/>
      <c r="E2" s="52"/>
      <c r="F2" s="52"/>
      <c r="G2" s="52"/>
      <c r="H2" s="2" t="s">
        <v>3</v>
      </c>
      <c r="I2" s="2" t="s">
        <v>4</v>
      </c>
      <c r="J2" s="2" t="s">
        <v>5</v>
      </c>
      <c r="K2" s="3" t="s">
        <v>6</v>
      </c>
      <c r="L2" s="2" t="s">
        <v>7</v>
      </c>
      <c r="M2" s="2" t="s">
        <v>8</v>
      </c>
    </row>
    <row r="3" spans="1:13" ht="15.75" x14ac:dyDescent="0.25">
      <c r="A3" s="56" t="s">
        <v>9</v>
      </c>
      <c r="B3" s="52"/>
      <c r="C3" s="52"/>
      <c r="D3" s="52"/>
      <c r="E3" s="52"/>
      <c r="F3" s="52"/>
      <c r="G3" s="52"/>
      <c r="H3" s="4">
        <v>1</v>
      </c>
      <c r="I3" s="5" t="s">
        <v>10</v>
      </c>
      <c r="J3" s="5" t="s">
        <v>11</v>
      </c>
      <c r="K3" s="6">
        <v>60</v>
      </c>
      <c r="L3" s="7">
        <v>8000</v>
      </c>
      <c r="M3" s="7">
        <f t="shared" ref="M3:M33" si="0">L3*K3</f>
        <v>480000</v>
      </c>
    </row>
    <row r="4" spans="1:13" x14ac:dyDescent="0.25">
      <c r="A4" s="49" t="s">
        <v>50</v>
      </c>
      <c r="B4" s="50"/>
      <c r="C4" s="50"/>
      <c r="D4" s="50"/>
      <c r="E4" s="50"/>
      <c r="F4" s="50"/>
      <c r="G4" s="50"/>
      <c r="H4" s="4"/>
      <c r="I4" s="5"/>
      <c r="J4" s="5" t="s">
        <v>12</v>
      </c>
      <c r="K4" s="4">
        <v>6</v>
      </c>
      <c r="L4" s="7">
        <v>10000</v>
      </c>
      <c r="M4" s="7">
        <f t="shared" si="0"/>
        <v>60000</v>
      </c>
    </row>
    <row r="5" spans="1:13" x14ac:dyDescent="0.25">
      <c r="A5" s="49" t="s">
        <v>51</v>
      </c>
      <c r="B5" s="50"/>
      <c r="C5" s="50"/>
      <c r="D5" s="50"/>
      <c r="E5" s="50"/>
      <c r="F5" s="50"/>
      <c r="G5" s="50"/>
      <c r="H5" s="4">
        <v>2</v>
      </c>
      <c r="I5" s="5" t="s">
        <v>13</v>
      </c>
      <c r="J5" s="5" t="s">
        <v>14</v>
      </c>
      <c r="K5" s="4">
        <v>259</v>
      </c>
      <c r="L5" s="7">
        <v>8000</v>
      </c>
      <c r="M5" s="7">
        <f t="shared" si="0"/>
        <v>2072000</v>
      </c>
    </row>
    <row r="6" spans="1:13" x14ac:dyDescent="0.25">
      <c r="A6" s="8" t="s">
        <v>3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8</v>
      </c>
      <c r="G6" s="8" t="s">
        <v>19</v>
      </c>
      <c r="H6" s="4"/>
      <c r="I6" s="5"/>
      <c r="J6" s="5" t="s">
        <v>20</v>
      </c>
      <c r="K6" s="4">
        <v>248</v>
      </c>
      <c r="L6" s="7">
        <v>10000</v>
      </c>
      <c r="M6" s="7">
        <f t="shared" si="0"/>
        <v>2480000</v>
      </c>
    </row>
    <row r="7" spans="1:13" ht="15.75" x14ac:dyDescent="0.25">
      <c r="A7" s="36">
        <v>1</v>
      </c>
      <c r="B7" s="37" t="s">
        <v>21</v>
      </c>
      <c r="C7" s="38">
        <v>10</v>
      </c>
      <c r="D7" s="38" t="s">
        <v>22</v>
      </c>
      <c r="E7" s="39">
        <v>15750</v>
      </c>
      <c r="F7" s="40">
        <f t="shared" ref="F7:F28" si="1">C7*E7</f>
        <v>157500</v>
      </c>
      <c r="G7" s="13"/>
      <c r="H7" s="4">
        <v>3</v>
      </c>
      <c r="I7" s="5" t="s">
        <v>23</v>
      </c>
      <c r="J7" s="5" t="s">
        <v>14</v>
      </c>
      <c r="K7" s="4">
        <v>60</v>
      </c>
      <c r="L7" s="7">
        <v>8000</v>
      </c>
      <c r="M7" s="7">
        <f t="shared" si="0"/>
        <v>480000</v>
      </c>
    </row>
    <row r="8" spans="1:13" ht="15.75" x14ac:dyDescent="0.25">
      <c r="A8" s="36">
        <v>2</v>
      </c>
      <c r="B8" s="37" t="s">
        <v>52</v>
      </c>
      <c r="C8" s="38">
        <v>30</v>
      </c>
      <c r="D8" s="38" t="s">
        <v>22</v>
      </c>
      <c r="E8" s="39">
        <v>18000</v>
      </c>
      <c r="F8" s="40">
        <f t="shared" si="1"/>
        <v>540000</v>
      </c>
      <c r="G8" s="5"/>
      <c r="H8" s="4"/>
      <c r="I8" s="5"/>
      <c r="J8" s="5" t="s">
        <v>20</v>
      </c>
      <c r="K8" s="4">
        <v>85</v>
      </c>
      <c r="L8" s="7">
        <v>10000</v>
      </c>
      <c r="M8" s="7">
        <f t="shared" si="0"/>
        <v>850000</v>
      </c>
    </row>
    <row r="9" spans="1:13" ht="15.75" x14ac:dyDescent="0.25">
      <c r="A9" s="36">
        <v>3</v>
      </c>
      <c r="B9" s="37" t="s">
        <v>53</v>
      </c>
      <c r="C9" s="38">
        <v>144</v>
      </c>
      <c r="D9" s="38" t="s">
        <v>22</v>
      </c>
      <c r="E9" s="39">
        <v>40000</v>
      </c>
      <c r="F9" s="40">
        <f t="shared" si="1"/>
        <v>5760000</v>
      </c>
      <c r="G9" s="5"/>
      <c r="H9" s="4">
        <v>4</v>
      </c>
      <c r="I9" s="5" t="s">
        <v>26</v>
      </c>
      <c r="J9" s="5"/>
      <c r="K9" s="4">
        <v>366</v>
      </c>
      <c r="L9" s="7">
        <v>10000</v>
      </c>
      <c r="M9" s="7">
        <f t="shared" si="0"/>
        <v>3660000</v>
      </c>
    </row>
    <row r="10" spans="1:13" ht="15.75" x14ac:dyDescent="0.25">
      <c r="A10" s="36">
        <v>4</v>
      </c>
      <c r="B10" s="37" t="s">
        <v>37</v>
      </c>
      <c r="C10" s="38">
        <v>2</v>
      </c>
      <c r="D10" s="38" t="s">
        <v>22</v>
      </c>
      <c r="E10" s="39">
        <v>107000</v>
      </c>
      <c r="F10" s="40">
        <f t="shared" si="1"/>
        <v>214000</v>
      </c>
      <c r="G10" s="5"/>
      <c r="H10" s="4">
        <v>5</v>
      </c>
      <c r="I10" s="5" t="s">
        <v>27</v>
      </c>
      <c r="J10" s="5" t="s">
        <v>14</v>
      </c>
      <c r="K10" s="4">
        <v>19</v>
      </c>
      <c r="L10" s="7">
        <v>8000</v>
      </c>
      <c r="M10" s="7">
        <f t="shared" si="0"/>
        <v>152000</v>
      </c>
    </row>
    <row r="11" spans="1:13" ht="15.75" x14ac:dyDescent="0.25">
      <c r="A11" s="36">
        <v>5</v>
      </c>
      <c r="B11" s="37" t="s">
        <v>54</v>
      </c>
      <c r="C11" s="38">
        <v>6</v>
      </c>
      <c r="D11" s="38" t="s">
        <v>22</v>
      </c>
      <c r="E11" s="39">
        <v>18000</v>
      </c>
      <c r="F11" s="40">
        <f t="shared" si="1"/>
        <v>108000</v>
      </c>
      <c r="G11" s="5"/>
      <c r="H11" s="4"/>
      <c r="I11" s="5"/>
      <c r="J11" s="5" t="s">
        <v>20</v>
      </c>
      <c r="K11" s="4">
        <v>74</v>
      </c>
      <c r="L11" s="7">
        <v>10000</v>
      </c>
      <c r="M11" s="7">
        <f t="shared" si="0"/>
        <v>740000</v>
      </c>
    </row>
    <row r="12" spans="1:13" ht="15.75" x14ac:dyDescent="0.25">
      <c r="A12" s="36">
        <v>6</v>
      </c>
      <c r="B12" s="37" t="s">
        <v>55</v>
      </c>
      <c r="C12" s="38">
        <v>6</v>
      </c>
      <c r="D12" s="38" t="s">
        <v>22</v>
      </c>
      <c r="E12" s="39">
        <v>27500</v>
      </c>
      <c r="F12" s="40">
        <f t="shared" si="1"/>
        <v>165000</v>
      </c>
      <c r="G12" s="5"/>
      <c r="H12" s="4">
        <v>6</v>
      </c>
      <c r="I12" s="5" t="s">
        <v>28</v>
      </c>
      <c r="J12" s="5" t="s">
        <v>11</v>
      </c>
      <c r="K12" s="4">
        <v>22</v>
      </c>
      <c r="L12" s="7">
        <v>8000</v>
      </c>
      <c r="M12" s="7">
        <f t="shared" si="0"/>
        <v>176000</v>
      </c>
    </row>
    <row r="13" spans="1:13" ht="15.75" x14ac:dyDescent="0.25">
      <c r="A13" s="36">
        <v>7</v>
      </c>
      <c r="B13" s="37" t="s">
        <v>39</v>
      </c>
      <c r="C13" s="38">
        <v>42</v>
      </c>
      <c r="D13" s="38" t="s">
        <v>40</v>
      </c>
      <c r="E13" s="39">
        <v>43700</v>
      </c>
      <c r="F13" s="40">
        <f t="shared" si="1"/>
        <v>1835400</v>
      </c>
      <c r="G13" s="5"/>
      <c r="H13" s="4"/>
      <c r="I13" s="5"/>
      <c r="J13" s="5" t="s">
        <v>12</v>
      </c>
      <c r="K13" s="4">
        <v>4</v>
      </c>
      <c r="L13" s="7">
        <v>10000</v>
      </c>
      <c r="M13" s="7">
        <f t="shared" si="0"/>
        <v>40000</v>
      </c>
    </row>
    <row r="14" spans="1:13" ht="15.75" x14ac:dyDescent="0.25">
      <c r="A14" s="36">
        <v>8</v>
      </c>
      <c r="B14" s="37" t="s">
        <v>56</v>
      </c>
      <c r="C14" s="38">
        <v>1</v>
      </c>
      <c r="D14" s="38" t="s">
        <v>58</v>
      </c>
      <c r="E14" s="39">
        <v>70000</v>
      </c>
      <c r="F14" s="40">
        <f t="shared" si="1"/>
        <v>70000</v>
      </c>
      <c r="G14" s="5"/>
      <c r="H14" s="4">
        <v>7</v>
      </c>
      <c r="I14" s="5" t="s">
        <v>29</v>
      </c>
      <c r="J14" s="5" t="s">
        <v>11</v>
      </c>
      <c r="K14" s="4">
        <v>73</v>
      </c>
      <c r="L14" s="7">
        <v>8000</v>
      </c>
      <c r="M14" s="7">
        <f t="shared" si="0"/>
        <v>584000</v>
      </c>
    </row>
    <row r="15" spans="1:13" ht="15.75" x14ac:dyDescent="0.25">
      <c r="A15" s="36">
        <v>9</v>
      </c>
      <c r="B15" s="37" t="s">
        <v>35</v>
      </c>
      <c r="C15" s="38">
        <v>5</v>
      </c>
      <c r="D15" s="38" t="s">
        <v>22</v>
      </c>
      <c r="E15" s="39">
        <v>18500</v>
      </c>
      <c r="F15" s="40">
        <f t="shared" si="1"/>
        <v>92500</v>
      </c>
      <c r="G15" s="5"/>
      <c r="H15" s="4"/>
      <c r="I15" s="5"/>
      <c r="J15" s="5" t="s">
        <v>12</v>
      </c>
      <c r="K15" s="4">
        <v>5</v>
      </c>
      <c r="L15" s="7">
        <v>10000</v>
      </c>
      <c r="M15" s="7">
        <f t="shared" si="0"/>
        <v>50000</v>
      </c>
    </row>
    <row r="16" spans="1:13" ht="15.75" x14ac:dyDescent="0.25">
      <c r="A16" s="36">
        <v>10</v>
      </c>
      <c r="B16" s="37" t="s">
        <v>57</v>
      </c>
      <c r="C16" s="38">
        <v>5</v>
      </c>
      <c r="D16" s="38" t="s">
        <v>59</v>
      </c>
      <c r="E16" s="39">
        <v>57000</v>
      </c>
      <c r="F16" s="40">
        <f t="shared" si="1"/>
        <v>285000</v>
      </c>
      <c r="G16" s="5"/>
      <c r="H16" s="4">
        <v>8</v>
      </c>
      <c r="I16" s="5" t="s">
        <v>30</v>
      </c>
      <c r="J16" s="5" t="s">
        <v>11</v>
      </c>
      <c r="K16" s="4">
        <v>18</v>
      </c>
      <c r="L16" s="7">
        <v>8000</v>
      </c>
      <c r="M16" s="7">
        <f t="shared" si="0"/>
        <v>144000</v>
      </c>
    </row>
    <row r="17" spans="1:13" ht="15.75" x14ac:dyDescent="0.25">
      <c r="A17" s="6">
        <v>11</v>
      </c>
      <c r="B17" s="9" t="s">
        <v>61</v>
      </c>
      <c r="C17" s="10">
        <v>161</v>
      </c>
      <c r="D17" s="10" t="s">
        <v>22</v>
      </c>
      <c r="E17" s="11">
        <v>54000</v>
      </c>
      <c r="F17" s="12">
        <f t="shared" si="1"/>
        <v>8694000</v>
      </c>
      <c r="G17" s="5"/>
      <c r="H17" s="4"/>
      <c r="I17" s="5"/>
      <c r="J17" s="5" t="s">
        <v>12</v>
      </c>
      <c r="K17" s="4">
        <v>3</v>
      </c>
      <c r="L17" s="7">
        <v>10000</v>
      </c>
      <c r="M17" s="7">
        <f t="shared" si="0"/>
        <v>30000</v>
      </c>
    </row>
    <row r="18" spans="1:13" ht="15.75" x14ac:dyDescent="0.25">
      <c r="A18" s="36">
        <v>12</v>
      </c>
      <c r="B18" s="37" t="s">
        <v>62</v>
      </c>
      <c r="C18" s="38">
        <v>135</v>
      </c>
      <c r="D18" s="38" t="s">
        <v>60</v>
      </c>
      <c r="E18" s="39">
        <v>13000</v>
      </c>
      <c r="F18" s="40">
        <f t="shared" si="1"/>
        <v>1755000</v>
      </c>
      <c r="G18" s="5"/>
      <c r="H18" s="4">
        <v>9</v>
      </c>
      <c r="I18" s="5" t="s">
        <v>31</v>
      </c>
      <c r="J18" s="5" t="s">
        <v>14</v>
      </c>
      <c r="K18" s="4">
        <v>90</v>
      </c>
      <c r="L18" s="7">
        <v>8000</v>
      </c>
      <c r="M18" s="7">
        <f t="shared" si="0"/>
        <v>720000</v>
      </c>
    </row>
    <row r="19" spans="1:13" ht="15.75" x14ac:dyDescent="0.25">
      <c r="A19" s="6">
        <v>13</v>
      </c>
      <c r="B19" s="9" t="s">
        <v>25</v>
      </c>
      <c r="C19" s="10">
        <v>5</v>
      </c>
      <c r="D19" s="10" t="s">
        <v>22</v>
      </c>
      <c r="E19" s="11">
        <v>33000</v>
      </c>
      <c r="F19" s="12">
        <f t="shared" si="1"/>
        <v>165000</v>
      </c>
      <c r="G19" s="5"/>
      <c r="H19" s="4"/>
      <c r="I19" s="5"/>
      <c r="J19" s="5" t="s">
        <v>20</v>
      </c>
      <c r="K19" s="4">
        <v>103</v>
      </c>
      <c r="L19" s="7">
        <v>10000</v>
      </c>
      <c r="M19" s="7">
        <f t="shared" si="0"/>
        <v>1030000</v>
      </c>
    </row>
    <row r="20" spans="1:13" ht="15.75" x14ac:dyDescent="0.25">
      <c r="A20" s="6">
        <v>14</v>
      </c>
      <c r="B20" s="14" t="s">
        <v>24</v>
      </c>
      <c r="C20" s="15">
        <v>2</v>
      </c>
      <c r="D20" s="10" t="s">
        <v>22</v>
      </c>
      <c r="E20" s="16">
        <v>30000</v>
      </c>
      <c r="F20" s="17">
        <f t="shared" si="1"/>
        <v>60000</v>
      </c>
      <c r="G20" s="5"/>
      <c r="H20" s="4">
        <v>10</v>
      </c>
      <c r="I20" s="5" t="s">
        <v>33</v>
      </c>
      <c r="J20" s="5" t="s">
        <v>14</v>
      </c>
      <c r="K20" s="4">
        <v>226</v>
      </c>
      <c r="L20" s="7">
        <v>8000</v>
      </c>
      <c r="M20" s="7">
        <f t="shared" si="0"/>
        <v>1808000</v>
      </c>
    </row>
    <row r="21" spans="1:13" ht="15.75" x14ac:dyDescent="0.25">
      <c r="A21" s="6">
        <v>15</v>
      </c>
      <c r="B21" s="14" t="s">
        <v>63</v>
      </c>
      <c r="C21" s="15">
        <v>3</v>
      </c>
      <c r="D21" s="10" t="s">
        <v>22</v>
      </c>
      <c r="E21" s="16">
        <v>25000</v>
      </c>
      <c r="F21" s="17">
        <f t="shared" si="1"/>
        <v>75000</v>
      </c>
      <c r="G21" s="5"/>
      <c r="H21" s="18"/>
      <c r="I21" s="19"/>
      <c r="J21" s="19" t="s">
        <v>20</v>
      </c>
      <c r="K21" s="18">
        <v>195</v>
      </c>
      <c r="L21" s="20">
        <v>10000</v>
      </c>
      <c r="M21" s="7">
        <f t="shared" si="0"/>
        <v>1950000</v>
      </c>
    </row>
    <row r="22" spans="1:13" ht="15.75" x14ac:dyDescent="0.25">
      <c r="A22" s="6">
        <v>16</v>
      </c>
      <c r="B22" s="14" t="s">
        <v>32</v>
      </c>
      <c r="C22" s="15">
        <v>35</v>
      </c>
      <c r="D22" s="10" t="s">
        <v>22</v>
      </c>
      <c r="E22" s="16">
        <v>15000</v>
      </c>
      <c r="F22" s="17">
        <f t="shared" si="1"/>
        <v>525000</v>
      </c>
      <c r="G22" s="5"/>
      <c r="H22" s="21">
        <v>11</v>
      </c>
      <c r="I22" s="22" t="s">
        <v>34</v>
      </c>
      <c r="J22" s="22"/>
      <c r="K22" s="21">
        <v>389</v>
      </c>
      <c r="L22" s="20">
        <v>10000</v>
      </c>
      <c r="M22" s="7">
        <f t="shared" si="0"/>
        <v>3890000</v>
      </c>
    </row>
    <row r="23" spans="1:13" ht="15.75" x14ac:dyDescent="0.25">
      <c r="A23" s="6">
        <v>17</v>
      </c>
      <c r="B23" s="14" t="s">
        <v>64</v>
      </c>
      <c r="C23" s="15">
        <v>40</v>
      </c>
      <c r="D23" s="10" t="s">
        <v>22</v>
      </c>
      <c r="E23" s="16">
        <v>8000</v>
      </c>
      <c r="F23" s="17">
        <f t="shared" si="1"/>
        <v>320000</v>
      </c>
      <c r="G23" s="5"/>
      <c r="H23" s="21">
        <v>12</v>
      </c>
      <c r="I23" s="22" t="s">
        <v>36</v>
      </c>
      <c r="J23" s="22"/>
      <c r="K23" s="21">
        <v>69</v>
      </c>
      <c r="L23" s="23">
        <v>10000</v>
      </c>
      <c r="M23" s="7">
        <f t="shared" si="0"/>
        <v>690000</v>
      </c>
    </row>
    <row r="24" spans="1:13" ht="15.75" x14ac:dyDescent="0.25">
      <c r="A24" s="6">
        <v>18</v>
      </c>
      <c r="B24" s="14" t="s">
        <v>65</v>
      </c>
      <c r="C24" s="15">
        <v>35</v>
      </c>
      <c r="D24" s="10" t="s">
        <v>22</v>
      </c>
      <c r="E24" s="16">
        <v>14000</v>
      </c>
      <c r="F24" s="17">
        <f t="shared" si="1"/>
        <v>490000</v>
      </c>
      <c r="G24" s="5"/>
      <c r="H24" s="21">
        <v>13</v>
      </c>
      <c r="I24" s="22" t="s">
        <v>38</v>
      </c>
      <c r="J24" s="22" t="s">
        <v>11</v>
      </c>
      <c r="K24" s="21">
        <v>18</v>
      </c>
      <c r="L24" s="7">
        <v>8000</v>
      </c>
      <c r="M24" s="7">
        <f t="shared" si="0"/>
        <v>144000</v>
      </c>
    </row>
    <row r="25" spans="1:13" ht="15.75" x14ac:dyDescent="0.25">
      <c r="A25" s="6">
        <v>19</v>
      </c>
      <c r="B25" s="14" t="s">
        <v>66</v>
      </c>
      <c r="C25" s="15">
        <v>10</v>
      </c>
      <c r="D25" s="10" t="s">
        <v>22</v>
      </c>
      <c r="E25" s="16">
        <v>57000</v>
      </c>
      <c r="F25" s="17">
        <f t="shared" si="1"/>
        <v>570000</v>
      </c>
      <c r="G25" s="5"/>
      <c r="H25" s="21"/>
      <c r="I25" s="22"/>
      <c r="J25" s="22" t="s">
        <v>12</v>
      </c>
      <c r="K25" s="21">
        <v>4</v>
      </c>
      <c r="L25" s="7">
        <v>10000</v>
      </c>
      <c r="M25" s="7">
        <f t="shared" si="0"/>
        <v>40000</v>
      </c>
    </row>
    <row r="26" spans="1:13" ht="15.75" x14ac:dyDescent="0.25">
      <c r="A26" s="6">
        <v>20</v>
      </c>
      <c r="B26" s="14" t="s">
        <v>67</v>
      </c>
      <c r="C26" s="15">
        <v>2</v>
      </c>
      <c r="D26" s="10" t="s">
        <v>22</v>
      </c>
      <c r="E26" s="16">
        <v>15000</v>
      </c>
      <c r="F26" s="17">
        <f t="shared" si="1"/>
        <v>30000</v>
      </c>
      <c r="G26" s="5"/>
      <c r="H26" s="21">
        <v>14</v>
      </c>
      <c r="I26" s="22" t="s">
        <v>41</v>
      </c>
      <c r="J26" s="22" t="s">
        <v>42</v>
      </c>
      <c r="K26" s="21">
        <v>46</v>
      </c>
      <c r="L26" s="7">
        <v>8000</v>
      </c>
      <c r="M26" s="7">
        <f t="shared" si="0"/>
        <v>368000</v>
      </c>
    </row>
    <row r="27" spans="1:13" ht="15.75" x14ac:dyDescent="0.25">
      <c r="A27" s="6">
        <v>21</v>
      </c>
      <c r="B27" s="14" t="s">
        <v>68</v>
      </c>
      <c r="C27" s="15">
        <v>2</v>
      </c>
      <c r="D27" s="10" t="s">
        <v>22</v>
      </c>
      <c r="E27" s="16">
        <v>15000</v>
      </c>
      <c r="F27" s="17">
        <f t="shared" si="1"/>
        <v>30000</v>
      </c>
      <c r="G27" s="5"/>
      <c r="H27" s="21"/>
      <c r="I27" s="22"/>
      <c r="J27" s="22" t="s">
        <v>44</v>
      </c>
      <c r="K27" s="21">
        <v>42</v>
      </c>
      <c r="L27" s="7">
        <v>10000</v>
      </c>
      <c r="M27" s="7">
        <f t="shared" si="0"/>
        <v>420000</v>
      </c>
    </row>
    <row r="28" spans="1:13" ht="15.75" x14ac:dyDescent="0.25">
      <c r="A28" s="6">
        <v>22</v>
      </c>
      <c r="B28" s="14" t="s">
        <v>69</v>
      </c>
      <c r="C28" s="15">
        <v>15</v>
      </c>
      <c r="D28" s="10" t="s">
        <v>22</v>
      </c>
      <c r="E28" s="16">
        <v>15000</v>
      </c>
      <c r="F28" s="17">
        <f t="shared" si="1"/>
        <v>225000</v>
      </c>
      <c r="G28" s="24"/>
      <c r="H28" s="21">
        <v>15</v>
      </c>
      <c r="I28" s="22" t="s">
        <v>46</v>
      </c>
      <c r="J28" s="22" t="s">
        <v>42</v>
      </c>
      <c r="K28" s="21">
        <v>40</v>
      </c>
      <c r="L28" s="7">
        <v>8000</v>
      </c>
      <c r="M28" s="29">
        <f t="shared" si="0"/>
        <v>320000</v>
      </c>
    </row>
    <row r="29" spans="1:13" x14ac:dyDescent="0.25">
      <c r="A29" s="41" t="s">
        <v>43</v>
      </c>
      <c r="B29" s="42"/>
      <c r="C29" s="42"/>
      <c r="D29" s="42"/>
      <c r="E29" s="42"/>
      <c r="F29" s="25">
        <f>SUM(F7:F28)</f>
        <v>22166400</v>
      </c>
      <c r="G29" s="26"/>
      <c r="H29" s="21"/>
      <c r="I29" s="22"/>
      <c r="J29" s="22" t="s">
        <v>44</v>
      </c>
      <c r="K29" s="21">
        <v>38</v>
      </c>
      <c r="L29" s="20">
        <v>10000</v>
      </c>
      <c r="M29" s="29">
        <f t="shared" si="0"/>
        <v>380000</v>
      </c>
    </row>
    <row r="30" spans="1:13" x14ac:dyDescent="0.25">
      <c r="A30" s="43" t="s">
        <v>45</v>
      </c>
      <c r="B30" s="44"/>
      <c r="C30" s="44"/>
      <c r="D30" s="44"/>
      <c r="E30" s="45"/>
      <c r="F30" s="27">
        <f>M34</f>
        <v>24644000</v>
      </c>
      <c r="G30" s="28"/>
      <c r="H30" s="21">
        <v>16</v>
      </c>
      <c r="I30" s="22" t="s">
        <v>48</v>
      </c>
      <c r="J30" s="22" t="s">
        <v>42</v>
      </c>
      <c r="K30" s="21">
        <v>31</v>
      </c>
      <c r="L30" s="7">
        <v>8000</v>
      </c>
      <c r="M30" s="29">
        <f t="shared" si="0"/>
        <v>248000</v>
      </c>
    </row>
    <row r="31" spans="1:13" x14ac:dyDescent="0.25">
      <c r="A31" s="46" t="s">
        <v>47</v>
      </c>
      <c r="B31" s="47"/>
      <c r="C31" s="47"/>
      <c r="D31" s="47"/>
      <c r="E31" s="48"/>
      <c r="F31" s="30">
        <f>MIN(F30-F29)</f>
        <v>2477600</v>
      </c>
      <c r="G31" s="28"/>
      <c r="H31" s="21"/>
      <c r="I31" s="22"/>
      <c r="J31" s="22" t="s">
        <v>44</v>
      </c>
      <c r="K31" s="21">
        <v>22</v>
      </c>
      <c r="L31" s="7">
        <v>10000</v>
      </c>
      <c r="M31" s="29">
        <f t="shared" si="0"/>
        <v>220000</v>
      </c>
    </row>
    <row r="32" spans="1:13" x14ac:dyDescent="0.25">
      <c r="H32" s="21">
        <v>17</v>
      </c>
      <c r="I32" s="22" t="s">
        <v>49</v>
      </c>
      <c r="J32" s="22" t="s">
        <v>42</v>
      </c>
      <c r="K32" s="21">
        <v>26</v>
      </c>
      <c r="L32" s="7">
        <v>8000</v>
      </c>
      <c r="M32" s="29">
        <f t="shared" si="0"/>
        <v>208000</v>
      </c>
    </row>
    <row r="33" spans="2:25" x14ac:dyDescent="0.25">
      <c r="H33" s="21"/>
      <c r="I33" s="22"/>
      <c r="J33" s="22" t="s">
        <v>44</v>
      </c>
      <c r="K33" s="21">
        <v>21</v>
      </c>
      <c r="L33" s="32">
        <v>10000</v>
      </c>
      <c r="M33" s="29">
        <f t="shared" si="0"/>
        <v>210000</v>
      </c>
    </row>
    <row r="34" spans="2:25" x14ac:dyDescent="0.25">
      <c r="H34" s="41" t="s">
        <v>43</v>
      </c>
      <c r="I34" s="41"/>
      <c r="J34" s="41"/>
      <c r="K34" s="33">
        <f>SUM(K3:K33)</f>
        <v>2662</v>
      </c>
      <c r="L34" s="34"/>
      <c r="M34" s="35">
        <f>SUM(M3:M33)</f>
        <v>24644000</v>
      </c>
    </row>
    <row r="40" spans="2:25" s="31" customForma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s="31" customForma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s="31" customForma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s="31" customForma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s="31" customForma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s="31" customForma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s="31" customForma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s="31" customForma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s="31" customForma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s="31" customForma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s="31" customFormat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s="31" customFormat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s="31" customForma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s="31" customForma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s="31" customFormat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s="31" customFormat="1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s="31" customForma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s="31" customForma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s="31" customForma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s="31" customForma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s="31" customForma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s="31" customForma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s="31" customForma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s="31" customForma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s="31" customForma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s="31" customForma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s="31" customForma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s="31" customForma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s="31" customForma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s="31" customForma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s="31" customForma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s="31" customForma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s="31" customForma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s="31" customForma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s="31" customForma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s="31" customForma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s="31" customForma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s="31" customForma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s="31" customForma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s="31" customForma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s="31" customForma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s="31" customFormat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s="31" customForma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s="31" customForma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s="31" customFormat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s="31" customFormat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s="31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s="31" customFormat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s="31" customForma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s="31" customForma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s="31" customFormat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s="31" customForma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s="31" customForma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s="31" customFormat="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s="31" customFormat="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s="31" customFormat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s="31" customFormat="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s="31" customFormat="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s="31" customFormat="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s="31" customFormat="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s="31" customFormat="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s="31" customFormat="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s="31" customFormat="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s="31" customFormat="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s="31" customFormat="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s="31" customFormat="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s="31" customForma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s="31" customFormat="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s="31" customFormat="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s="31" customFormat="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s="31" customFormat="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s="31" customFormat="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s="31" customFormat="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s="31" customFormat="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s="31" customFormat="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s="31" customFormat="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s="31" customForma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s="31" customForma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s="31" customForma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s="31" customForma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s="31" customForma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s="31" customFormat="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s="31" customFormat="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s="31" customFormat="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s="31" customFormat="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s="31" customFormat="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s="31" customFormat="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s="31" customFormat="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s="31" customFormat="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s="31" customFormat="1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s="31" customFormat="1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s="31" customFormat="1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s="31" customForma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s="31" customFormat="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s="31" customFormat="1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s="31" customFormat="1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s="31" customFormat="1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s="31" customFormat="1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s="31" customFormat="1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s="31" customFormat="1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s="31" customFormat="1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s="31" customFormat="1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s="31" customFormat="1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s="31" customFormat="1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s="31" customFormat="1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s="31" customFormat="1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s="31" customFormat="1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s="31" customFormat="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s="31" customFormat="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s="31" customFormat="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s="31" customFormat="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s="31" customFormat="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s="31" customFormat="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s="31" customFormat="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s="31" customFormat="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s="31" customFormat="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s="31" customFormat="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s="31" customFormat="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s="31" customFormat="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s="31" customFormat="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s="31" customFormat="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s="31" customFormat="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s="31" customFormat="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s="31" customFormat="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s="31" customFormat="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s="31" customFormat="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s="31" customFormat="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s="31" customFormat="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s="31" customFormat="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s="31" customForma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s="31" customForma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s="31" customForma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s="31" customFormat="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s="31" customFormat="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s="31" customFormat="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s="31" customFormat="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s="31" customFormat="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s="31" customFormat="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s="31" customFormat="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s="31" customFormat="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s="31" customFormat="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s="31" customFormat="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s="31" customFormat="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s="31" customFormat="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s="31" customFormat="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s="31" customFormat="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s="31" customFormat="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s="31" customFormat="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s="31" customFormat="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s="31" customFormat="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s="31" customFormat="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s="31" customFormat="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s="31" customForma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s="31" customForma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s="31" customForma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s="31" customForma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s="31" customForma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s="31" customForma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s="31" customForma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s="31" customForma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s="31" customForma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s="31" customForma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s="31" customForma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s="31" customForma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s="31" customForma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s="31" customForma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s="31" customForma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s="31" customForma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s="31" customForma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s="31" customForma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s="31" customForma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s="31" customForma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s="31" customForma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s="31" customForma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s="31" customForma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s="31" customForma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s="31" customForma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s="31" customForma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s="31" customForma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s="31" customForma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s="31" customForma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s="31" customForma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s="31" customForma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s="31" customForma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s="31" customForma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s="31" customForma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s="31" customForma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2:25" s="31" customForma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2:25" s="31" customFormat="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2:25" s="31" customFormat="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2:25" s="31" customFormat="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2:25" s="31" customFormat="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2:25" s="31" customFormat="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2:25" s="31" customFormat="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2:25" s="31" customFormat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s="31" customFormat="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s="31" customFormat="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2:25" s="31" customFormat="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2:25" s="31" customFormat="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2:25" s="31" customFormat="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2:25" s="31" customFormat="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2:25" s="31" customFormat="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2:25" s="31" customFormat="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2:25" s="31" customFormat="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2:25" s="31" customFormat="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2:25" s="31" customFormat="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2:25" s="31" customFormat="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2:25" s="31" customFormat="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2:25" s="31" customFormat="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2:25" s="31" customFormat="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2:25" s="31" customFormat="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2:25" s="31" customFormat="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2:25" s="31" customFormat="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2:25" s="31" customFormat="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2:25" s="31" customFormat="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2:25" s="31" customFormat="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2:25" s="31" customFormat="1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2:25" s="31" customFormat="1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2:25" s="31" customFormat="1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2:25" s="31" customFormat="1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2:25" s="31" customFormat="1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2:25" s="31" customFormat="1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2:25" s="31" customFormat="1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2:25" s="31" customFormat="1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2:25" s="31" customFormat="1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2:25" s="31" customFormat="1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2:25" s="31" customFormat="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2:25" s="31" customFormat="1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2:25" s="31" customFormat="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2:25" s="31" customFormat="1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2:25" s="31" customFormat="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2:25" s="31" customFormat="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2:25" s="31" customFormat="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2:25" s="31" customFormat="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2:25" s="31" customFormat="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2:25" s="31" customFormat="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2:25" s="31" customFormat="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2:25" s="31" customFormat="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2:25" s="31" customFormat="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2:25" s="31" customFormat="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2:25" s="31" customFormat="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2:25" s="31" customFormat="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2:25" s="31" customFormat="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2:25" s="31" customFormat="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2:25" s="31" customFormat="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2:25" s="31" customFormat="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2:25" s="31" customFormat="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2:25" s="31" customFormat="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2:25" s="31" customFormat="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2:25" s="31" customFormat="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2:25" s="31" customFormat="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2:25" s="31" customFormat="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2:25" s="31" customFormat="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2:25" s="31" customFormat="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2:25" s="31" customFormat="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2:25" s="31" customFormat="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2:25" s="31" customFormat="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2:25" s="31" customFormat="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2:25" s="31" customForma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2:25" s="31" customFormat="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2:25" s="31" customFormat="1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2:25" s="31" customFormat="1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2:25" s="31" customFormat="1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2:25" s="31" customFormat="1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2:25" s="31" customFormat="1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2:25" s="31" customFormat="1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2:25" s="31" customFormat="1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2:25" s="31" customFormat="1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2:25" s="31" customFormat="1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2:25" s="31" customFormat="1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2:25" s="31" customFormat="1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2:25" s="31" customFormat="1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s="31" customFormat="1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s="31" customFormat="1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2:25" s="31" customFormat="1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2:25" s="31" customFormat="1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2:25" s="31" customFormat="1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2:25" s="31" customFormat="1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2:25" s="31" customFormat="1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2:25" s="31" customFormat="1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2:25" s="31" customFormat="1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2:25" s="31" customFormat="1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2:25" s="31" customFormat="1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s="31" customFormat="1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2:25" s="31" customFormat="1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2:25" s="31" customFormat="1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2:25" s="31" customFormat="1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2:25" s="31" customFormat="1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2:25" s="31" customFormat="1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2:25" s="31" customFormat="1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2:25" s="31" customFormat="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2:25" s="31" customFormat="1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2:25" s="31" customFormat="1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2:25" s="31" customFormat="1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2:25" s="31" customFormat="1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2:25" s="31" customFormat="1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2:25" s="31" customFormat="1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2:25" s="31" customFormat="1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2:25" s="31" customFormat="1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2:25" s="31" customFormat="1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2:25" s="31" customFormat="1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2:25" s="31" customFormat="1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2:25" s="31" customFormat="1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2:25" s="31" customFormat="1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2:25" s="31" customFormat="1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2:25" s="31" customFormat="1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2:25" s="31" customFormat="1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2:25" s="31" customFormat="1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2:25" s="31" customFormat="1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2:25" s="31" customFormat="1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2:25" s="31" customFormat="1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2:25" s="31" customFormat="1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2:25" s="31" customFormat="1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2:25" s="31" customFormat="1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2:25" s="31" customFormat="1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2:25" s="31" customFormat="1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2:25" s="31" customFormat="1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2:25" s="31" customFormat="1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2:25" s="31" customFormat="1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2:25" s="31" customFormat="1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2:25" s="31" customFormat="1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2:25" s="31" customFormat="1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2:25" s="31" customFormat="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2:25" s="31" customFormat="1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2:25" s="31" customFormat="1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2:25" s="31" customFormat="1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2:25" s="31" customFormat="1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2:25" s="31" customFormat="1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2:25" s="31" customFormat="1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2:25" s="31" customFormat="1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2:25" s="31" customFormat="1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2:25" s="31" customFormat="1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2:25" s="31" customFormat="1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2:25" s="31" customFormat="1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2:25" s="31" customFormat="1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2:25" s="31" customFormat="1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2:25" s="31" customFormat="1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2:25" s="31" customFormat="1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2:25" s="31" customFormat="1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2:25" s="31" customFormat="1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2:25" s="31" customFormat="1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2:25" s="31" customFormat="1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2:25" s="31" customFormat="1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2:25" s="31" customFormat="1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2:25" s="31" customFormat="1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2:25" s="31" customFormat="1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2:25" s="31" customFormat="1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2:25" s="31" customFormat="1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2:25" s="31" customFormat="1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2:25" s="31" customFormat="1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2:25" s="31" customFormat="1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2:25" s="31" customFormat="1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2:25" s="31" customFormat="1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2:25" s="31" customFormat="1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2:25" s="31" customFormat="1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2:25" s="31" customFormat="1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2:25" s="31" customFormat="1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2:25" s="31" customFormat="1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2:25" s="31" customFormat="1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2:25" s="31" customFormat="1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2:25" s="31" customFormat="1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2:25" s="31" customFormat="1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2:25" s="31" customFormat="1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2:25" s="31" customFormat="1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2:25" s="31" customFormat="1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2:25" s="31" customFormat="1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2:25" s="31" customFormat="1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2:25" s="31" customFormat="1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2:25" s="31" customFormat="1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2:25" s="31" customFormat="1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2:25" s="31" customFormat="1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2:25" s="31" customFormat="1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2:25" s="31" customFormat="1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2:25" s="31" customFormat="1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2:25" s="31" customFormat="1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2:25" s="31" customFormat="1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2:25" s="31" customFormat="1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2:25" s="31" customFormat="1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2:25" s="31" customFormat="1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2:25" s="31" customFormat="1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2:25" s="31" customFormat="1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2:25" s="31" customFormat="1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2:25" s="31" customFormat="1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2:25" s="31" customFormat="1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2:25" s="31" customFormat="1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2:25" s="31" customFormat="1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2:25" s="31" customFormat="1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2:25" s="31" customFormat="1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2:25" s="31" customFormat="1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2:25" s="31" customFormat="1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2:25" s="31" customFormat="1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2:25" s="31" customFormat="1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2:25" s="31" customFormat="1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2:25" s="31" customFormat="1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2:25" s="31" customFormat="1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2:25" s="31" customFormat="1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2:25" s="31" customFormat="1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2:25" s="31" customFormat="1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2:25" s="31" customFormat="1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2:25" s="31" customFormat="1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2:25" s="31" customFormat="1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2:25" s="31" customFormat="1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2:25" s="31" customFormat="1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2:25" s="31" customFormat="1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2:25" s="31" customFormat="1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2:25" s="31" customFormat="1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2:25" s="31" customFormat="1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2:25" s="31" customFormat="1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2:25" s="31" customFormat="1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2:25" s="31" customFormat="1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2:25" s="31" customFormat="1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2:25" s="31" customFormat="1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2:25" s="31" customFormat="1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2:25" s="31" customFormat="1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2:25" s="31" customFormat="1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2:25" s="31" customFormat="1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2:25" s="31" customFormat="1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2:25" s="31" customFormat="1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2:25" s="31" customFormat="1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2:25" s="31" customFormat="1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2:25" s="31" customFormat="1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2:25" s="31" customFormat="1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2:25" s="31" customFormat="1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2:25" s="31" customFormat="1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2:25" s="31" customFormat="1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2:25" s="31" customFormat="1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2:25" s="31" customFormat="1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2:25" s="31" customFormat="1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2:25" s="31" customFormat="1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2:25" s="31" customFormat="1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2:25" s="31" customFormat="1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2:25" s="31" customFormat="1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2:25" s="31" customFormat="1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2:25" s="31" customFormat="1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2:25" s="31" customFormat="1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2:25" s="31" customFormat="1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2:25" s="31" customFormat="1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2:25" s="31" customFormat="1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2:25" s="31" customFormat="1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2:25" s="31" customFormat="1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2:25" s="31" customFormat="1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2:25" s="31" customFormat="1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2:25" s="31" customFormat="1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2:25" s="31" customFormat="1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2:25" s="31" customFormat="1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2:25" s="31" customFormat="1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2:25" s="31" customFormat="1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2:25" s="31" customFormat="1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2:25" s="31" customFormat="1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2:25" s="31" customFormat="1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2:25" s="31" customFormat="1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2:25" s="31" customFormat="1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2:25" s="31" customFormat="1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2:25" s="31" customFormat="1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2:25" s="31" customFormat="1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2:25" s="31" customFormat="1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2:25" s="31" customFormat="1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2:25" s="31" customFormat="1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2:25" s="31" customFormat="1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2:25" s="31" customFormat="1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2:25" s="31" customFormat="1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2:25" s="31" customFormat="1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2:25" s="31" customFormat="1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2:25" s="31" customFormat="1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2:25" s="31" customFormat="1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2:25" s="31" customFormat="1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2:25" s="31" customFormat="1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2:25" s="31" customFormat="1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2:25" s="31" customFormat="1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2:25" s="31" customFormat="1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2:25" s="31" customFormat="1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2:25" s="31" customFormat="1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2:25" s="31" customFormat="1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2:25" s="31" customFormat="1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2:25" s="31" customFormat="1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2:25" s="31" customFormat="1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2:25" s="31" customFormat="1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2:25" s="31" customFormat="1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2:25" s="31" customFormat="1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2:25" s="31" customFormat="1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2:25" s="31" customFormat="1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2:25" s="31" customFormat="1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2:25" s="31" customFormat="1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2:25" s="31" customFormat="1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2:25" s="31" customFormat="1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2:25" s="31" customFormat="1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2:25" s="31" customFormat="1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2:25" s="31" customFormat="1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2:25" s="31" customFormat="1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2:25" s="31" customFormat="1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2:25" s="31" customFormat="1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2:25" s="31" customFormat="1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2:25" s="31" customFormat="1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2:25" s="31" customFormat="1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2:25" s="31" customFormat="1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2:25" s="31" customFormat="1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2:25" s="31" customFormat="1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2:25" s="31" customFormat="1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2:25" s="31" customFormat="1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2:25" s="31" customFormat="1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2:25" s="31" customFormat="1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2:25" s="31" customFormat="1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2:25" s="31" customFormat="1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2:25" s="31" customFormat="1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2:25" s="31" customFormat="1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2:25" s="31" customFormat="1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2:25" s="31" customFormat="1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2:25" s="31" customFormat="1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2:25" s="31" customFormat="1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2:25" s="31" customFormat="1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2:25" s="31" customFormat="1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2:25" s="31" customFormat="1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2:25" s="31" customFormat="1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2:25" s="31" customFormat="1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2:25" s="31" customFormat="1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2:25" s="31" customFormat="1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2:25" s="31" customFormat="1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2:25" s="31" customFormat="1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2:25" s="31" customFormat="1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2:25" s="31" customFormat="1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2:25" s="31" customFormat="1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2:25" s="31" customFormat="1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2:25" s="31" customFormat="1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2:25" s="31" customFormat="1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2:25" s="31" customFormat="1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2:25" s="31" customFormat="1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2:25" s="31" customFormat="1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2:25" s="31" customFormat="1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2:25" s="31" customFormat="1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2:25" s="31" customFormat="1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2:25" s="31" customFormat="1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2:25" s="31" customFormat="1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2:25" s="31" customFormat="1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2:25" s="31" customFormat="1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2:25" s="31" customFormat="1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2:25" s="31" customFormat="1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2:25" s="31" customFormat="1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2:25" s="31" customFormat="1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2:25" s="31" customFormat="1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2:25" s="31" customFormat="1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2:25" s="31" customFormat="1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2:25" s="31" customFormat="1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2:25" s="31" customFormat="1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2:25" s="31" customFormat="1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2:25" s="31" customFormat="1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2:25" s="31" customFormat="1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2:25" s="31" customFormat="1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2:25" s="31" customFormat="1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2:25" s="31" customFormat="1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2:25" s="31" customFormat="1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2:25" s="31" customFormat="1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2:25" s="31" customFormat="1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2:25" s="31" customFormat="1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2:25" s="31" customFormat="1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2:25" s="31" customFormat="1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2:25" s="31" customFormat="1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2:25" s="31" customFormat="1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2:25" s="31" customFormat="1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2:25" s="31" customFormat="1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2:25" s="31" customFormat="1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2:25" s="31" customFormat="1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2:25" s="31" customFormat="1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2:25" s="31" customFormat="1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2:25" s="31" customFormat="1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2:25" s="31" customFormat="1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2:25" s="31" customFormat="1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2:25" s="31" customFormat="1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2:25" s="31" customFormat="1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2:25" s="31" customFormat="1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2:25" s="31" customFormat="1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2:25" s="31" customFormat="1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2:25" s="31" customFormat="1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2:25" s="31" customFormat="1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2:25" s="31" customFormat="1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2:25" s="31" customFormat="1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2:25" s="31" customFormat="1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2:25" s="31" customFormat="1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2:25" s="31" customFormat="1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2:25" s="31" customFormat="1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2:25" s="31" customFormat="1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2:25" s="31" customFormat="1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2:25" s="31" customFormat="1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2:25" s="31" customFormat="1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2:25" s="31" customFormat="1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2:25" s="31" customFormat="1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2:25" s="31" customFormat="1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2:25" s="31" customFormat="1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2:25" s="31" customFormat="1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2:25" s="31" customFormat="1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2:25" s="31" customFormat="1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2:25" s="31" customFormat="1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2:25" s="31" customFormat="1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2:25" s="31" customFormat="1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2:25" s="31" customFormat="1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2:25" s="31" customFormat="1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2:25" s="31" customFormat="1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2:25" s="31" customFormat="1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2:25" s="31" customFormat="1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2:25" s="31" customFormat="1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2:25" s="31" customFormat="1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2:25" s="31" customFormat="1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2:25" s="31" customFormat="1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2:25" s="31" customFormat="1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2:25" s="31" customFormat="1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2:25" s="31" customFormat="1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2:25" s="31" customFormat="1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2:25" s="31" customFormat="1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2:25" s="31" customFormat="1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2:25" s="31" customFormat="1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2:25" s="31" customFormat="1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2:25" s="31" customFormat="1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2:25" s="31" customFormat="1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2:25" s="31" customFormat="1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2:25" s="31" customFormat="1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2:25" s="31" customFormat="1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2:25" s="31" customFormat="1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2:25" s="31" customFormat="1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2:25" s="31" customFormat="1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2:25" s="31" customFormat="1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2:25" s="31" customFormat="1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2:25" s="31" customFormat="1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2:25" s="31" customFormat="1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2:25" s="31" customFormat="1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2:25" s="31" customFormat="1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2:25" s="31" customFormat="1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2:25" s="31" customFormat="1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2:25" s="31" customFormat="1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2:25" s="31" customFormat="1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2:25" s="31" customFormat="1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2:25" s="31" customFormat="1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2:25" s="31" customFormat="1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2:25" s="31" customFormat="1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2:25" s="31" customFormat="1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2:25" s="31" customFormat="1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2:25" s="31" customFormat="1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2:25" s="31" customFormat="1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2:25" s="31" customFormat="1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2:25" s="31" customFormat="1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2:25" s="31" customFormat="1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2:25" s="31" customFormat="1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2:25" s="31" customFormat="1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2:25" s="31" customFormat="1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2:25" s="31" customFormat="1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2:25" s="31" customFormat="1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2:25" s="31" customFormat="1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2:25" s="31" customFormat="1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2:25" s="31" customFormat="1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2:25" s="31" customFormat="1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2:25" s="31" customFormat="1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2:25" s="31" customFormat="1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2:25" s="31" customFormat="1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2:25" s="31" customFormat="1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2:25" s="31" customFormat="1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2:25" s="31" customFormat="1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2:25" s="31" customFormat="1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2:25" s="31" customFormat="1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2:25" s="31" customFormat="1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2:25" s="31" customFormat="1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2:25" s="31" customFormat="1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2:25" s="31" customFormat="1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2:25" s="31" customFormat="1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2:25" s="31" customFormat="1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2:25" s="31" customFormat="1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2:25" s="31" customFormat="1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2:25" s="31" customFormat="1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2:25" s="31" customFormat="1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2:25" s="31" customFormat="1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2:25" s="31" customFormat="1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2:25" s="31" customFormat="1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2:25" s="31" customFormat="1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2:25" s="31" customFormat="1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2:25" s="31" customFormat="1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2:25" s="31" customFormat="1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2:25" s="31" customFormat="1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2:25" s="31" customFormat="1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2:25" s="31" customFormat="1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2:25" s="31" customFormat="1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2:25" s="31" customFormat="1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2:25" s="31" customFormat="1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2:25" s="31" customFormat="1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2:25" s="31" customFormat="1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2:25" s="31" customFormat="1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2:25" s="31" customFormat="1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2:25" s="31" customFormat="1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2:25" s="31" customFormat="1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2:25" s="31" customFormat="1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2:25" s="31" customFormat="1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2:25" s="31" customFormat="1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2:25" s="31" customFormat="1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2:25" s="31" customFormat="1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2:25" s="31" customFormat="1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2:25" s="31" customFormat="1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2:25" s="31" customFormat="1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2:25" s="31" customFormat="1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2:25" s="31" customFormat="1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2:25" s="31" customFormat="1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2:25" s="31" customFormat="1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2:25" s="31" customFormat="1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2:25" s="31" customFormat="1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2:25" s="31" customFormat="1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2:25" s="31" customFormat="1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2:25" s="31" customFormat="1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2:25" s="31" customFormat="1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2:25" s="31" customFormat="1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2:25" s="31" customFormat="1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2:25" s="31" customFormat="1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2:25" s="31" customFormat="1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2:25" s="31" customFormat="1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2:25" s="31" customFormat="1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2:25" s="31" customFormat="1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2:25" s="31" customFormat="1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2:25" s="31" customFormat="1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2:25" s="31" customFormat="1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2:25" s="31" customFormat="1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2:25" s="31" customFormat="1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2:25" s="31" customFormat="1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2:25" s="31" customFormat="1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2:25" s="31" customFormat="1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2:25" s="31" customFormat="1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2:25" s="31" customFormat="1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2:25" s="31" customFormat="1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2:25" s="31" customFormat="1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2:25" s="31" customFormat="1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2:25" s="31" customFormat="1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2:25" s="31" customFormat="1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2:25" s="31" customFormat="1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2:25" s="31" customFormat="1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2:25" s="31" customFormat="1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2:25" s="31" customFormat="1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2:25" s="31" customFormat="1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2:25" s="31" customFormat="1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2:25" s="31" customFormat="1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2:25" s="31" customFormat="1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2:25" s="31" customFormat="1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2:25" s="31" customFormat="1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2:25" s="31" customFormat="1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2:25" s="31" customFormat="1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2:25" s="31" customFormat="1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2:25" s="31" customFormat="1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2:25" s="31" customFormat="1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2:25" s="31" customFormat="1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2:25" s="31" customFormat="1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2:25" s="31" customFormat="1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2:25" s="31" customFormat="1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2:25" s="31" customFormat="1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2:25" s="31" customFormat="1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2:25" s="31" customFormat="1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2:25" s="31" customFormat="1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2:25" s="31" customFormat="1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2:25" s="31" customFormat="1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2:25" s="31" customFormat="1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2:25" s="31" customFormat="1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2:25" s="31" customFormat="1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2:25" s="31" customFormat="1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2:25" s="31" customFormat="1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2:25" s="31" customFormat="1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2:25" s="31" customFormat="1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2:25" s="31" customFormat="1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2:25" s="31" customFormat="1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2:25" s="31" customFormat="1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2:25" s="31" customFormat="1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2:25" s="31" customFormat="1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2:25" s="31" customFormat="1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2:25" s="31" customFormat="1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2:25" s="31" customFormat="1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2:25" s="31" customFormat="1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2:25" s="31" customFormat="1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2:25" s="31" customFormat="1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2:25" s="31" customFormat="1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2:25" s="31" customFormat="1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2:25" s="31" customFormat="1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2:25" s="31" customFormat="1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2:25" s="31" customFormat="1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2:25" s="31" customFormat="1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2:25" s="31" customFormat="1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2:25" s="31" customFormat="1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2:25" s="31" customFormat="1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2:25" s="31" customFormat="1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2:25" s="31" customFormat="1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2:25" s="31" customFormat="1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2:25" s="31" customFormat="1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2:25" s="31" customFormat="1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2:25" s="31" customFormat="1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2:25" s="31" customFormat="1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2:25" s="31" customFormat="1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2:25" s="31" customFormat="1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2:25" s="31" customFormat="1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2:25" s="31" customFormat="1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2:25" s="31" customFormat="1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2:25" s="31" customFormat="1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2:25" s="31" customFormat="1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2:25" s="31" customFormat="1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2:25" s="31" customFormat="1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2:25" s="31" customFormat="1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2:25" s="31" customFormat="1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2:25" s="31" customFormat="1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2:25" s="31" customFormat="1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2:25" s="31" customFormat="1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2:25" s="31" customFormat="1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2:25" s="31" customFormat="1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2:25" s="31" customFormat="1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2:25" s="31" customFormat="1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2:25" s="31" customFormat="1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2:25" s="31" customFormat="1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2:25" s="31" customFormat="1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2:25" s="31" customFormat="1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2:25" s="31" customFormat="1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2:25" s="31" customFormat="1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2:25" s="31" customFormat="1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2:25" s="31" customFormat="1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2:25" s="31" customFormat="1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2:25" s="31" customFormat="1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2:25" s="31" customFormat="1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2:25" s="31" customFormat="1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2:25" s="31" customFormat="1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2:25" s="31" customFormat="1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2:25" s="31" customFormat="1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2:25" s="31" customFormat="1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2:25" s="31" customFormat="1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2:25" s="31" customFormat="1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2:25" s="31" customFormat="1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2:25" s="31" customFormat="1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2:25" s="31" customFormat="1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2:25" s="31" customFormat="1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2:25" s="31" customFormat="1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2:25" s="31" customFormat="1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2:25" s="31" customFormat="1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2:25" s="31" customFormat="1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2:25" s="31" customFormat="1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2:25" s="31" customFormat="1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2:25" s="31" customFormat="1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2:25" s="31" customFormat="1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2:25" s="31" customFormat="1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2:25" s="31" customFormat="1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2:25" s="31" customFormat="1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2:25" s="31" customFormat="1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2:25" s="31" customFormat="1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2:25" s="31" customFormat="1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2:25" s="31" customFormat="1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2:25" s="31" customFormat="1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2:25" s="31" customFormat="1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2:25" s="31" customFormat="1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2:25" s="31" customFormat="1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2:25" s="31" customFormat="1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2:25" s="31" customFormat="1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2:25" s="31" customFormat="1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2:25" s="31" customFormat="1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2:25" s="31" customFormat="1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2:25" s="31" customFormat="1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2:25" s="31" customFormat="1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2:25" s="31" customFormat="1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2:25" s="31" customFormat="1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2:25" s="31" customFormat="1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2:25" s="31" customFormat="1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2:25" s="31" customFormat="1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2:25" s="31" customFormat="1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2:25" s="31" customFormat="1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2:25" s="31" customFormat="1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2:25" s="31" customFormat="1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2:25" s="31" customFormat="1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2:25" s="31" customFormat="1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2:25" s="31" customFormat="1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2:25" s="31" customFormat="1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2:25" s="31" customFormat="1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2:25" s="31" customFormat="1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2:25" s="31" customFormat="1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2:25" s="31" customFormat="1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2:25" s="31" customFormat="1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2:25" s="31" customFormat="1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2:25" s="31" customFormat="1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2:25" s="31" customFormat="1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2:25" s="31" customFormat="1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2:25" s="31" customFormat="1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2:25" s="31" customFormat="1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2:25" s="31" customFormat="1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2:25" s="31" customFormat="1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2:25" s="31" customFormat="1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2:25" s="31" customFormat="1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2:25" s="31" customFormat="1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2:25" s="31" customFormat="1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2:25" s="31" customFormat="1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2:25" s="31" customFormat="1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2:25" s="31" customFormat="1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2:25" s="31" customFormat="1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2:25" s="31" customFormat="1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2:25" s="31" customFormat="1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2:25" s="31" customFormat="1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2:25" s="31" customFormat="1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2:25" s="31" customFormat="1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2:25" s="31" customFormat="1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2:25" s="31" customFormat="1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2:25" s="31" customFormat="1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2:25" s="31" customFormat="1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2:25" s="31" customFormat="1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2:25" s="31" customFormat="1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2:25" s="31" customFormat="1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2:25" s="31" customFormat="1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2:25" s="31" customFormat="1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2:25" s="31" customFormat="1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2:25" s="31" customFormat="1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2:25" s="31" customFormat="1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2:25" s="31" customFormat="1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2:25" s="31" customFormat="1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2:25" s="31" customFormat="1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2:25" s="31" customFormat="1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2:25" s="31" customFormat="1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2:25" s="31" customFormat="1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</sheetData>
  <mergeCells count="10">
    <mergeCell ref="A29:E29"/>
    <mergeCell ref="A30:E30"/>
    <mergeCell ref="A31:E31"/>
    <mergeCell ref="H34:J34"/>
    <mergeCell ref="A1:G1"/>
    <mergeCell ref="H1:M1"/>
    <mergeCell ref="A2:G2"/>
    <mergeCell ref="A3:G3"/>
    <mergeCell ref="A4:G4"/>
    <mergeCell ref="A5:G5"/>
  </mergeCells>
  <pageMargins left="0.70866141732283472" right="0.70866141732283472" top="0.74803149606299213" bottom="0.15748031496062992" header="0" footer="0"/>
  <pageSetup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LENOVOV14_PF63HPHQ@hotmail.com</dc:creator>
  <cp:lastModifiedBy>wengbazha .</cp:lastModifiedBy>
  <dcterms:created xsi:type="dcterms:W3CDTF">2026-09-14T08:08:55Z</dcterms:created>
  <dcterms:modified xsi:type="dcterms:W3CDTF">2026-10-14T07:46:36Z</dcterms:modified>
</cp:coreProperties>
</file>